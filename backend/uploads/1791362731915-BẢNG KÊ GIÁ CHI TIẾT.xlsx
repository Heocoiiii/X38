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ocoi/Documents/BACKUP/MACBOOK/X38/VẬT TƯ/"/>
    </mc:Choice>
  </mc:AlternateContent>
  <xr:revisionPtr revIDLastSave="0" documentId="8_{568D4A5B-2F92-4F42-BEF9-52EF33E5EC67}" xr6:coauthVersionLast="47" xr6:coauthVersionMax="47" xr10:uidLastSave="{00000000-0000-0000-0000-000000000000}"/>
  <bookViews>
    <workbookView xWindow="5740" yWindow="1240" windowWidth="27240" windowHeight="15100" activeTab="1" xr2:uid="{906D3742-6243-A246-B356-114D120B7565}"/>
  </bookViews>
  <sheets>
    <sheet name="PL5 DƠN GIÁ CHI TIẾT" sheetId="2" r:id="rId1"/>
    <sheet name="Sheet3" sheetId="3" r:id="rId2"/>
    <sheet name="Sheet1" sheetId="1" r:id="rId3"/>
  </sheets>
  <externalReferences>
    <externalReference r:id="rId4"/>
    <externalReference r:id="rId5"/>
  </externalReferences>
  <definedNames>
    <definedName name="_____________b4" localSheetId="0" hidden="1">{"'Sheet1'!$L$16"}</definedName>
    <definedName name="_____________b4" hidden="1">{"'Sheet1'!$L$16"}</definedName>
    <definedName name="_____________bd2" localSheetId="0" hidden="1">{"'Sheet1'!$L$16"}</definedName>
    <definedName name="_____________bd2" hidden="1">{"'Sheet1'!$L$16"}</definedName>
    <definedName name="_____________bd4" localSheetId="0" hidden="1">{"'Sheet1'!$L$16"}</definedName>
    <definedName name="_____________bd4" hidden="1">{"'Sheet1'!$L$16"}</definedName>
    <definedName name="_____________bqk5" localSheetId="0" hidden="1">{"'Sheet1'!$L$16"}</definedName>
    <definedName name="_____________bqk5" hidden="1">{"'Sheet1'!$L$16"}</definedName>
    <definedName name="_____________qu4" localSheetId="0" hidden="1">{"'Sheet1'!$L$16"}</definedName>
    <definedName name="_____________qu4" hidden="1">{"'Sheet1'!$L$16"}</definedName>
    <definedName name="___________b4" localSheetId="0" hidden="1">{"'Sheet1'!$L$16"}</definedName>
    <definedName name="___________b4" hidden="1">{"'Sheet1'!$L$16"}</definedName>
    <definedName name="___________bd2" localSheetId="0" hidden="1">{"'Sheet1'!$L$16"}</definedName>
    <definedName name="___________bd2" hidden="1">{"'Sheet1'!$L$16"}</definedName>
    <definedName name="___________bd4" localSheetId="0" hidden="1">{"'Sheet1'!$L$16"}</definedName>
    <definedName name="___________bd4" hidden="1">{"'Sheet1'!$L$16"}</definedName>
    <definedName name="___________bqk5" localSheetId="0" hidden="1">{"'Sheet1'!$L$16"}</definedName>
    <definedName name="___________bqk5" hidden="1">{"'Sheet1'!$L$16"}</definedName>
    <definedName name="___________h391" localSheetId="0" hidden="1">{"'Sheet1'!$L$16"}</definedName>
    <definedName name="___________h391" hidden="1">{"'Sheet1'!$L$16"}</definedName>
    <definedName name="___________K882" localSheetId="0" hidden="1">{"'Sheet1'!$L$16"}</definedName>
    <definedName name="___________K882" hidden="1">{"'Sheet1'!$L$16"}</definedName>
    <definedName name="___________qu4" localSheetId="0" hidden="1">{"'Sheet1'!$L$16"}</definedName>
    <definedName name="___________qu4" hidden="1">{"'Sheet1'!$L$16"}</definedName>
    <definedName name="___________v1111" localSheetId="0" hidden="1">{"'Sheet1'!$L$16"}</definedName>
    <definedName name="___________v1111" hidden="1">{"'Sheet1'!$L$16"}</definedName>
    <definedName name="___________v1234" localSheetId="0" hidden="1">{"'Sheet1'!$L$16"}</definedName>
    <definedName name="___________v1234" hidden="1">{"'Sheet1'!$L$16"}</definedName>
    <definedName name="__________b4" localSheetId="0" hidden="1">{"'Sheet1'!$L$16"}</definedName>
    <definedName name="__________b4" hidden="1">{"'Sheet1'!$L$16"}</definedName>
    <definedName name="__________bd2" localSheetId="0" hidden="1">{"'Sheet1'!$L$16"}</definedName>
    <definedName name="__________bd2" hidden="1">{"'Sheet1'!$L$16"}</definedName>
    <definedName name="__________bd4" localSheetId="0" hidden="1">{"'Sheet1'!$L$16"}</definedName>
    <definedName name="__________bd4" hidden="1">{"'Sheet1'!$L$16"}</definedName>
    <definedName name="__________bqk5" localSheetId="0" hidden="1">{"'Sheet1'!$L$16"}</definedName>
    <definedName name="__________bqk5" hidden="1">{"'Sheet1'!$L$16"}</definedName>
    <definedName name="__________qu4" localSheetId="0" hidden="1">{"'Sheet1'!$L$16"}</definedName>
    <definedName name="__________qu4" hidden="1">{"'Sheet1'!$L$16"}</definedName>
    <definedName name="_________b4" localSheetId="0" hidden="1">{"'Sheet1'!$L$16"}</definedName>
    <definedName name="_________b4" hidden="1">{"'Sheet1'!$L$16"}</definedName>
    <definedName name="_________bd2" localSheetId="0" hidden="1">{"'Sheet1'!$L$16"}</definedName>
    <definedName name="_________bd2" hidden="1">{"'Sheet1'!$L$16"}</definedName>
    <definedName name="_________bd4" localSheetId="0" hidden="1">{"'Sheet1'!$L$16"}</definedName>
    <definedName name="_________bd4" hidden="1">{"'Sheet1'!$L$16"}</definedName>
    <definedName name="_________bqk5" localSheetId="0" hidden="1">{"'Sheet1'!$L$16"}</definedName>
    <definedName name="_________bqk5" hidden="1">{"'Sheet1'!$L$16"}</definedName>
    <definedName name="_________h391" localSheetId="0" hidden="1">{"'Sheet1'!$L$16"}</definedName>
    <definedName name="_________h391" hidden="1">{"'Sheet1'!$L$16"}</definedName>
    <definedName name="_________K882" localSheetId="0" hidden="1">{"'Sheet1'!$L$16"}</definedName>
    <definedName name="_________K882" hidden="1">{"'Sheet1'!$L$16"}</definedName>
    <definedName name="_________qu4" localSheetId="0" hidden="1">{"'Sheet1'!$L$16"}</definedName>
    <definedName name="_________qu4" hidden="1">{"'Sheet1'!$L$16"}</definedName>
    <definedName name="_________v1111" localSheetId="0" hidden="1">{"'Sheet1'!$L$16"}</definedName>
    <definedName name="_________v1111" hidden="1">{"'Sheet1'!$L$16"}</definedName>
    <definedName name="_________v1234" localSheetId="0" hidden="1">{"'Sheet1'!$L$16"}</definedName>
    <definedName name="_________v1234" hidden="1">{"'Sheet1'!$L$16"}</definedName>
    <definedName name="________b4" localSheetId="0" hidden="1">{"'Sheet1'!$L$16"}</definedName>
    <definedName name="________b4" hidden="1">{"'Sheet1'!$L$16"}</definedName>
    <definedName name="________bd2" localSheetId="0" hidden="1">{"'Sheet1'!$L$16"}</definedName>
    <definedName name="________bd2" hidden="1">{"'Sheet1'!$L$16"}</definedName>
    <definedName name="________bd4" localSheetId="0" hidden="1">{"'Sheet1'!$L$16"}</definedName>
    <definedName name="________bd4" hidden="1">{"'Sheet1'!$L$16"}</definedName>
    <definedName name="________bqk5" localSheetId="0" hidden="1">{"'Sheet1'!$L$16"}</definedName>
    <definedName name="________bqk5" hidden="1">{"'Sheet1'!$L$16"}</definedName>
    <definedName name="________h391" localSheetId="0" hidden="1">{"'Sheet1'!$L$16"}</definedName>
    <definedName name="________h391" hidden="1">{"'Sheet1'!$L$16"}</definedName>
    <definedName name="________K882" localSheetId="0" hidden="1">{"'Sheet1'!$L$16"}</definedName>
    <definedName name="________K882" hidden="1">{"'Sheet1'!$L$16"}</definedName>
    <definedName name="________qu4" localSheetId="0" hidden="1">{"'Sheet1'!$L$16"}</definedName>
    <definedName name="________qu4" hidden="1">{"'Sheet1'!$L$16"}</definedName>
    <definedName name="________v1111" localSheetId="0" hidden="1">{"'Sheet1'!$L$16"}</definedName>
    <definedName name="________v1111" hidden="1">{"'Sheet1'!$L$16"}</definedName>
    <definedName name="________v1234" localSheetId="0" hidden="1">{"'Sheet1'!$L$16"}</definedName>
    <definedName name="________v1234" hidden="1">{"'Sheet1'!$L$16"}</definedName>
    <definedName name="_______b4" localSheetId="0" hidden="1">{"'Sheet1'!$L$16"}</definedName>
    <definedName name="_______b4" hidden="1">{"'Sheet1'!$L$16"}</definedName>
    <definedName name="_______bd2" localSheetId="0" hidden="1">{"'Sheet1'!$L$16"}</definedName>
    <definedName name="_______bd2" hidden="1">{"'Sheet1'!$L$16"}</definedName>
    <definedName name="_______bd4" localSheetId="0" hidden="1">{"'Sheet1'!$L$16"}</definedName>
    <definedName name="_______bd4" hidden="1">{"'Sheet1'!$L$16"}</definedName>
    <definedName name="_______bqk5" localSheetId="0" hidden="1">{"'Sheet1'!$L$16"}</definedName>
    <definedName name="_______bqk5" hidden="1">{"'Sheet1'!$L$16"}</definedName>
    <definedName name="_______h391" localSheetId="0" hidden="1">{"'Sheet1'!$L$16"}</definedName>
    <definedName name="_______h391" hidden="1">{"'Sheet1'!$L$16"}</definedName>
    <definedName name="_______K882" localSheetId="0" hidden="1">{"'Sheet1'!$L$16"}</definedName>
    <definedName name="_______K882" hidden="1">{"'Sheet1'!$L$16"}</definedName>
    <definedName name="_______qu4" localSheetId="0" hidden="1">{"'Sheet1'!$L$16"}</definedName>
    <definedName name="_______qu4" hidden="1">{"'Sheet1'!$L$16"}</definedName>
    <definedName name="_______v1111" localSheetId="0" hidden="1">{"'Sheet1'!$L$16"}</definedName>
    <definedName name="_______v1111" hidden="1">{"'Sheet1'!$L$16"}</definedName>
    <definedName name="_______v1234" localSheetId="0" hidden="1">{"'Sheet1'!$L$16"}</definedName>
    <definedName name="_______v1234" hidden="1">{"'Sheet1'!$L$16"}</definedName>
    <definedName name="______b4" localSheetId="0" hidden="1">{"'Sheet1'!$L$16"}</definedName>
    <definedName name="______b4" hidden="1">{"'Sheet1'!$L$16"}</definedName>
    <definedName name="______bd2" localSheetId="0" hidden="1">{"'Sheet1'!$L$16"}</definedName>
    <definedName name="______bd2" hidden="1">{"'Sheet1'!$L$16"}</definedName>
    <definedName name="______bd4" localSheetId="0" hidden="1">{"'Sheet1'!$L$16"}</definedName>
    <definedName name="______bd4" hidden="1">{"'Sheet1'!$L$16"}</definedName>
    <definedName name="______bqk5" localSheetId="0" hidden="1">{"'Sheet1'!$L$16"}</definedName>
    <definedName name="______bqk5" hidden="1">{"'Sheet1'!$L$16"}</definedName>
    <definedName name="______h391" localSheetId="0" hidden="1">{"'Sheet1'!$L$16"}</definedName>
    <definedName name="______h391" hidden="1">{"'Sheet1'!$L$16"}</definedName>
    <definedName name="______K882" localSheetId="0" hidden="1">{"'Sheet1'!$L$16"}</definedName>
    <definedName name="______K882" hidden="1">{"'Sheet1'!$L$16"}</definedName>
    <definedName name="______qu4" localSheetId="0" hidden="1">{"'Sheet1'!$L$16"}</definedName>
    <definedName name="______qu4" hidden="1">{"'Sheet1'!$L$16"}</definedName>
    <definedName name="______v1111" localSheetId="0" hidden="1">{"'Sheet1'!$L$16"}</definedName>
    <definedName name="______v1111" hidden="1">{"'Sheet1'!$L$16"}</definedName>
    <definedName name="______v1234" localSheetId="0" hidden="1">{"'Sheet1'!$L$16"}</definedName>
    <definedName name="______v1234" hidden="1">{"'Sheet1'!$L$16"}</definedName>
    <definedName name="_____b4" localSheetId="0" hidden="1">{"'Sheet1'!$L$16"}</definedName>
    <definedName name="_____b4" hidden="1">{"'Sheet1'!$L$16"}</definedName>
    <definedName name="_____bd2" localSheetId="0" hidden="1">{"'Sheet1'!$L$16"}</definedName>
    <definedName name="_____bd2" hidden="1">{"'Sheet1'!$L$16"}</definedName>
    <definedName name="_____bd4" localSheetId="0" hidden="1">{"'Sheet1'!$L$16"}</definedName>
    <definedName name="_____bd4" hidden="1">{"'Sheet1'!$L$16"}</definedName>
    <definedName name="_____bqk5" localSheetId="0" hidden="1">{"'Sheet1'!$L$16"}</definedName>
    <definedName name="_____bqk5" hidden="1">{"'Sheet1'!$L$16"}</definedName>
    <definedName name="_____h391" localSheetId="0" hidden="1">{"'Sheet1'!$L$16"}</definedName>
    <definedName name="_____h391" hidden="1">{"'Sheet1'!$L$16"}</definedName>
    <definedName name="_____K882" localSheetId="0" hidden="1">{"'Sheet1'!$L$16"}</definedName>
    <definedName name="_____K882" hidden="1">{"'Sheet1'!$L$16"}</definedName>
    <definedName name="_____qu4" localSheetId="0" hidden="1">{"'Sheet1'!$L$16"}</definedName>
    <definedName name="_____qu4" hidden="1">{"'Sheet1'!$L$16"}</definedName>
    <definedName name="_____v1111" localSheetId="0" hidden="1">{"'Sheet1'!$L$16"}</definedName>
    <definedName name="_____v1111" hidden="1">{"'Sheet1'!$L$16"}</definedName>
    <definedName name="_____v1234" localSheetId="0" hidden="1">{"'Sheet1'!$L$16"}</definedName>
    <definedName name="_____v1234" hidden="1">{"'Sheet1'!$L$16"}</definedName>
    <definedName name="____b4" localSheetId="0" hidden="1">{"'Sheet1'!$L$16"}</definedName>
    <definedName name="____b4" hidden="1">{"'Sheet1'!$L$16"}</definedName>
    <definedName name="____bd2" localSheetId="0" hidden="1">{"'Sheet1'!$L$16"}</definedName>
    <definedName name="____bd2" hidden="1">{"'Sheet1'!$L$16"}</definedName>
    <definedName name="____bd4" localSheetId="0" hidden="1">{"'Sheet1'!$L$16"}</definedName>
    <definedName name="____bd4" hidden="1">{"'Sheet1'!$L$16"}</definedName>
    <definedName name="____bqk5" localSheetId="0" hidden="1">{"'Sheet1'!$L$16"}</definedName>
    <definedName name="____bqk5" hidden="1">{"'Sheet1'!$L$16"}</definedName>
    <definedName name="____h391" localSheetId="0" hidden="1">{"'Sheet1'!$L$16"}</definedName>
    <definedName name="____h391" hidden="1">{"'Sheet1'!$L$16"}</definedName>
    <definedName name="____K882" localSheetId="0" hidden="1">{"'Sheet1'!$L$16"}</definedName>
    <definedName name="____K882" hidden="1">{"'Sheet1'!$L$16"}</definedName>
    <definedName name="____qu4" localSheetId="0" hidden="1">{"'Sheet1'!$L$16"}</definedName>
    <definedName name="____qu4" hidden="1">{"'Sheet1'!$L$16"}</definedName>
    <definedName name="____v1111" localSheetId="0" hidden="1">{"'Sheet1'!$L$16"}</definedName>
    <definedName name="____v1111" hidden="1">{"'Sheet1'!$L$16"}</definedName>
    <definedName name="____v1234" localSheetId="0" hidden="1">{"'Sheet1'!$L$16"}</definedName>
    <definedName name="____v1234" hidden="1">{"'Sheet1'!$L$16"}</definedName>
    <definedName name="___b4" localSheetId="0" hidden="1">{"'Sheet1'!$L$16"}</definedName>
    <definedName name="___b4" hidden="1">{"'Sheet1'!$L$16"}</definedName>
    <definedName name="___bd2" localSheetId="0" hidden="1">{"'Sheet1'!$L$16"}</definedName>
    <definedName name="___bd2" hidden="1">{"'Sheet1'!$L$16"}</definedName>
    <definedName name="___bd4" localSheetId="0" hidden="1">{"'Sheet1'!$L$16"}</definedName>
    <definedName name="___bd4" hidden="1">{"'Sheet1'!$L$16"}</definedName>
    <definedName name="___bqk5" localSheetId="0" hidden="1">{"'Sheet1'!$L$16"}</definedName>
    <definedName name="___bqk5" hidden="1">{"'Sheet1'!$L$16"}</definedName>
    <definedName name="___h391" localSheetId="0" hidden="1">{"'Sheet1'!$L$16"}</definedName>
    <definedName name="___h391" hidden="1">{"'Sheet1'!$L$16"}</definedName>
    <definedName name="___K882" localSheetId="0" hidden="1">{"'Sheet1'!$L$16"}</definedName>
    <definedName name="___K882" hidden="1">{"'Sheet1'!$L$16"}</definedName>
    <definedName name="___qu4" localSheetId="0" hidden="1">{"'Sheet1'!$L$16"}</definedName>
    <definedName name="___qu4" hidden="1">{"'Sheet1'!$L$16"}</definedName>
    <definedName name="___v1111" localSheetId="0" hidden="1">{"'Sheet1'!$L$16"}</definedName>
    <definedName name="___v1111" hidden="1">{"'Sheet1'!$L$16"}</definedName>
    <definedName name="___v1234" localSheetId="0" hidden="1">{"'Sheet1'!$L$16"}</definedName>
    <definedName name="___v1234" hidden="1">{"'Sheet1'!$L$16"}</definedName>
    <definedName name="__b4" localSheetId="0" hidden="1">{"'Sheet1'!$L$16"}</definedName>
    <definedName name="__b4" hidden="1">{"'Sheet1'!$L$16"}</definedName>
    <definedName name="__bd2" localSheetId="0" hidden="1">{"'Sheet1'!$L$16"}</definedName>
    <definedName name="__bd2" hidden="1">{"'Sheet1'!$L$16"}</definedName>
    <definedName name="__bd4" localSheetId="0" hidden="1">{"'Sheet1'!$L$16"}</definedName>
    <definedName name="__bd4" hidden="1">{"'Sheet1'!$L$16"}</definedName>
    <definedName name="__bqk5" localSheetId="0" hidden="1">{"'Sheet1'!$L$16"}</definedName>
    <definedName name="__bqk5" hidden="1">{"'Sheet1'!$L$16"}</definedName>
    <definedName name="__h391" localSheetId="0" hidden="1">{"'Sheet1'!$L$16"}</definedName>
    <definedName name="__h391" hidden="1">{"'Sheet1'!$L$16"}</definedName>
    <definedName name="__K882" localSheetId="0" hidden="1">{"'Sheet1'!$L$16"}</definedName>
    <definedName name="__K882" hidden="1">{"'Sheet1'!$L$16"}</definedName>
    <definedName name="__qu4" localSheetId="0" hidden="1">{"'Sheet1'!$L$16"}</definedName>
    <definedName name="__qu4" hidden="1">{"'Sheet1'!$L$16"}</definedName>
    <definedName name="__v1111" localSheetId="0" hidden="1">{"'Sheet1'!$L$16"}</definedName>
    <definedName name="__v1111" hidden="1">{"'Sheet1'!$L$16"}</definedName>
    <definedName name="__v1234" localSheetId="0" hidden="1">{"'Sheet1'!$L$16"}</definedName>
    <definedName name="__v1234" hidden="1">{"'Sheet1'!$L$16"}</definedName>
    <definedName name="_1">#N/A</definedName>
    <definedName name="_1000A01">#N/A</definedName>
    <definedName name="_2">#N/A</definedName>
    <definedName name="_b4" localSheetId="0" hidden="1">{"'Sheet1'!$L$16"}</definedName>
    <definedName name="_b4" hidden="1">{"'Sheet1'!$L$16"}</definedName>
    <definedName name="_bd2" localSheetId="0" hidden="1">{"'Sheet1'!$L$16"}</definedName>
    <definedName name="_bd2" hidden="1">{"'Sheet1'!$L$16"}</definedName>
    <definedName name="_bd4" localSheetId="0" hidden="1">{"'Sheet1'!$L$16"}</definedName>
    <definedName name="_bd4" hidden="1">{"'Sheet1'!$L$16"}</definedName>
    <definedName name="_bqk5" localSheetId="0" hidden="1">{"'Sheet1'!$L$16"}</definedName>
    <definedName name="_bqk5" hidden="1">{"'Sheet1'!$L$16"}</definedName>
    <definedName name="_CON1" localSheetId="0">#REF!</definedName>
    <definedName name="_CON1">#REF!</definedName>
    <definedName name="_CON2" localSheetId="0">#REF!</definedName>
    <definedName name="_CON2">#REF!</definedName>
    <definedName name="_Fill" localSheetId="0" hidden="1">#REF!</definedName>
    <definedName name="_Fill" hidden="1">#REF!</definedName>
    <definedName name="_xlnm._FilterDatabase" localSheetId="0" hidden="1">'PL5 DƠN GIÁ CHI TIẾT'!$A$5:$AD$52</definedName>
    <definedName name="_h391" localSheetId="0" hidden="1">{"'Sheet1'!$L$16"}</definedName>
    <definedName name="_h391" hidden="1">{"'Sheet1'!$L$16"}</definedName>
    <definedName name="_K882" localSheetId="0" hidden="1">{"'Sheet1'!$L$16"}</definedName>
    <definedName name="_K882" hidden="1">{"'Sheet1'!$L$16"}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NET2" localSheetId="0">#REF!</definedName>
    <definedName name="_NET2">#REF!</definedName>
    <definedName name="_Order1" hidden="1">255</definedName>
    <definedName name="_Order2" hidden="1">255</definedName>
    <definedName name="_qu4" localSheetId="0" hidden="1">{"'Sheet1'!$L$16"}</definedName>
    <definedName name="_qu4" hidden="1">{"'Sheet1'!$L$16"}</definedName>
    <definedName name="_Sort" localSheetId="0" hidden="1">#REF!</definedName>
    <definedName name="_Sort" hidden="1">#REF!</definedName>
    <definedName name="_v1111" localSheetId="0" hidden="1">{"'Sheet1'!$L$16"}</definedName>
    <definedName name="_v1111" hidden="1">{"'Sheet1'!$L$16"}</definedName>
    <definedName name="_v1234" localSheetId="0" hidden="1">{"'Sheet1'!$L$16"}</definedName>
    <definedName name="_v1234" hidden="1">{"'Sheet1'!$L$16"}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0">#REF!</definedName>
    <definedName name="AA">#REF!</definedName>
    <definedName name="All_Item" localSheetId="0">#REF!</definedName>
    <definedName name="All_Item">#REF!</definedName>
    <definedName name="ALPIN">#N/A</definedName>
    <definedName name="ALPJYOU">#N/A</definedName>
    <definedName name="ALPTOI">#N/A</definedName>
    <definedName name="anscount" hidden="1">8</definedName>
    <definedName name="BB" localSheetId="0">#REF!</definedName>
    <definedName name="BB">#REF!</definedName>
    <definedName name="bdqk5" localSheetId="0" hidden="1">{"'Sheet1'!$L$16"}</definedName>
    <definedName name="bdqk5" hidden="1">{"'Sheet1'!$L$16"}</definedName>
    <definedName name="bdtq" localSheetId="0" hidden="1">{"'Sheet1'!$L$16"}</definedName>
    <definedName name="bdtq" hidden="1">{"'Sheet1'!$L$16"}</definedName>
    <definedName name="bieu2" localSheetId="0">#REF!</definedName>
    <definedName name="bieu2">#REF!</definedName>
    <definedName name="BL">"$A$1:$f$11"</definedName>
    <definedName name="BOQ" localSheetId="0">#REF!</definedName>
    <definedName name="BOQ">#REF!</definedName>
    <definedName name="BVCISUMMARY" localSheetId="0">#REF!</definedName>
    <definedName name="BVCISUMMARY">#REF!</definedName>
    <definedName name="Category_All" localSheetId="0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T" localSheetId="0" hidden="1">{"'Sheet1'!$L$16"}</definedName>
    <definedName name="CCT" hidden="1">{"'Sheet1'!$L$16"}</definedName>
    <definedName name="CLVC3">0.1</definedName>
    <definedName name="COMMON" localSheetId="0">#REF!</definedName>
    <definedName name="COMMON">#REF!</definedName>
    <definedName name="CON_EQP_COS" localSheetId="0">#REF!</definedName>
    <definedName name="CON_EQP_COS">#REF!</definedName>
    <definedName name="CON_EQP_COST" localSheetId="0">#REF!</definedName>
    <definedName name="CON_EQP_COST">#REF!</definedName>
    <definedName name="CONST_EQ" localSheetId="0">#REF!</definedName>
    <definedName name="CONST_EQ">#REF!</definedName>
    <definedName name="COVER" localSheetId="0">#REF!</definedName>
    <definedName name="COVER">#REF!</definedName>
    <definedName name="CRITINST" localSheetId="0">#REF!</definedName>
    <definedName name="CRITINST">#REF!</definedName>
    <definedName name="CRITPURC" localSheetId="0">#REF!</definedName>
    <definedName name="CRITPURC">#REF!</definedName>
    <definedName name="CS_10" localSheetId="0">#REF!</definedName>
    <definedName name="CS_10">#REF!</definedName>
    <definedName name="CS_100" localSheetId="0">#REF!</definedName>
    <definedName name="CS_100">#REF!</definedName>
    <definedName name="CS_10S" localSheetId="0">#REF!</definedName>
    <definedName name="CS_10S">#REF!</definedName>
    <definedName name="CS_120" localSheetId="0">#REF!</definedName>
    <definedName name="CS_120">#REF!</definedName>
    <definedName name="CS_140" localSheetId="0">#REF!</definedName>
    <definedName name="CS_140">#REF!</definedName>
    <definedName name="CS_160" localSheetId="0">#REF!</definedName>
    <definedName name="CS_160">#REF!</definedName>
    <definedName name="CS_20" localSheetId="0">#REF!</definedName>
    <definedName name="CS_20">#REF!</definedName>
    <definedName name="CS_30" localSheetId="0">#REF!</definedName>
    <definedName name="CS_30">#REF!</definedName>
    <definedName name="CS_40" localSheetId="0">#REF!</definedName>
    <definedName name="CS_40">#REF!</definedName>
    <definedName name="CS_40S" localSheetId="0">#REF!</definedName>
    <definedName name="CS_40S">#REF!</definedName>
    <definedName name="CS_5S" localSheetId="0">#REF!</definedName>
    <definedName name="CS_5S">#REF!</definedName>
    <definedName name="CS_60" localSheetId="0">#REF!</definedName>
    <definedName name="CS_60">#REF!</definedName>
    <definedName name="CS_80" localSheetId="0">#REF!</definedName>
    <definedName name="CS_80">#REF!</definedName>
    <definedName name="CS_80S" localSheetId="0">#REF!</definedName>
    <definedName name="CS_80S">#REF!</definedName>
    <definedName name="CS_STD" localSheetId="0">#REF!</definedName>
    <definedName name="CS_STD">#REF!</definedName>
    <definedName name="CS_XS" localSheetId="0">#REF!</definedName>
    <definedName name="CS_XS">#REF!</definedName>
    <definedName name="CS_XXS" localSheetId="0">#REF!</definedName>
    <definedName name="CS_XXS">#REF!</definedName>
    <definedName name="ct..." localSheetId="0" hidden="1">{"'Sheet1'!$L$16"}</definedName>
    <definedName name="ct..." hidden="1">{"'Sheet1'!$L$16"}</definedName>
    <definedName name="CURRENCY" localSheetId="0">#REF!</definedName>
    <definedName name="CURRENCY">#REF!</definedName>
    <definedName name="D_7101A_B" localSheetId="0">#REF!</definedName>
    <definedName name="D_7101A_B">#REF!</definedName>
    <definedName name="_xlnm.Database" localSheetId="0">#REF!</definedName>
    <definedName name="_xlnm.Database">#REF!</definedName>
    <definedName name="DataFilter" localSheetId="0">[2]!DataFilter</definedName>
    <definedName name="DataFilter">[2]!DataFilter</definedName>
    <definedName name="DataSort" localSheetId="0">[2]!DataSort</definedName>
    <definedName name="DataSort">[2]!DataSort</definedName>
    <definedName name="Document_array" localSheetId="0">{"Book1","nhu cÇu ®iÖn n¨ng 2005.xls"}</definedName>
    <definedName name="Document_array">{"Book1","nhu cÇu ®iÖn n¨ng 2005.xls"}</definedName>
    <definedName name="DSUMDATA" localSheetId="0">#REF!</definedName>
    <definedName name="DSUMDATA">#REF!</definedName>
    <definedName name="End_1" localSheetId="0">#REF!</definedName>
    <definedName name="End_1">#REF!</definedName>
    <definedName name="End_10" localSheetId="0">#REF!</definedName>
    <definedName name="End_10">#REF!</definedName>
    <definedName name="End_11" localSheetId="0">#REF!</definedName>
    <definedName name="End_11">#REF!</definedName>
    <definedName name="End_12" localSheetId="0">#REF!</definedName>
    <definedName name="End_12">#REF!</definedName>
    <definedName name="End_13" localSheetId="0">#REF!</definedName>
    <definedName name="End_13">#REF!</definedName>
    <definedName name="End_2" localSheetId="0">#REF!</definedName>
    <definedName name="End_2">#REF!</definedName>
    <definedName name="End_3" localSheetId="0">#REF!</definedName>
    <definedName name="End_3">#REF!</definedName>
    <definedName name="End_4" localSheetId="0">#REF!</definedName>
    <definedName name="End_4">#REF!</definedName>
    <definedName name="End_5" localSheetId="0">#REF!</definedName>
    <definedName name="End_5">#REF!</definedName>
    <definedName name="End_6" localSheetId="0">#REF!</definedName>
    <definedName name="End_6">#REF!</definedName>
    <definedName name="End_7" localSheetId="0">#REF!</definedName>
    <definedName name="End_7">#REF!</definedName>
    <definedName name="End_8" localSheetId="0">#REF!</definedName>
    <definedName name="End_8">#REF!</definedName>
    <definedName name="End_9" localSheetId="0">#REF!</definedName>
    <definedName name="End_9">#REF!</definedName>
    <definedName name="FACTOR" localSheetId="0">#REF!</definedName>
    <definedName name="FACTOR">#REF!</definedName>
    <definedName name="g" localSheetId="0" hidden="1">{"'Sheet1'!$L$16"}</definedName>
    <definedName name="g" hidden="1">{"'Sheet1'!$L$16"}</definedName>
    <definedName name="gia" localSheetId="0">#REF!</definedName>
    <definedName name="gia">#REF!</definedName>
    <definedName name="GoBack" localSheetId="0">[2]Sheet1!GoBack</definedName>
    <definedName name="GoBack">[2]Sheet1!GoBack</definedName>
    <definedName name="hanh" localSheetId="0" hidden="1">{"'Sheet1'!$L$16"}</definedName>
    <definedName name="hanh" hidden="1">{"'Sheet1'!$L$16"}</definedName>
    <definedName name="Heä_soá_laép_xaø_H">1.7</definedName>
    <definedName name="HoaCu" localSheetId="0" hidden="1">{#N/A,#N/A,FALSE,"Chi tiÆt"}</definedName>
    <definedName name="HoaCu" hidden="1">{#N/A,#N/A,FALSE,"Chi tiÆt"}</definedName>
    <definedName name="HOME_MANP" localSheetId="0">#REF!</definedName>
    <definedName name="HOME_MANP">#REF!</definedName>
    <definedName name="HOMEOFFICE_COST" localSheetId="0">#REF!</definedName>
    <definedName name="HOMEOFFICE_COST">#REF!</definedName>
    <definedName name="HSCT3">0.1</definedName>
    <definedName name="HSDN">2.5</definedName>
    <definedName name="html" localSheetId="0" hidden="1">{"'Sheet1'!$L$16"}</definedName>
    <definedName name="html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IDLAB_COST" localSheetId="0">#REF!</definedName>
    <definedName name="IDLAB_COST">#REF!</definedName>
    <definedName name="IND_LAB" localSheetId="0">#REF!</definedName>
    <definedName name="IND_LAB">#REF!</definedName>
    <definedName name="INDMANP" localSheetId="0">#REF!</definedName>
    <definedName name="INDMANP">#REF!</definedName>
    <definedName name="kh" localSheetId="0" hidden="1">{"'Sheet1'!$L$16"}</definedName>
    <definedName name="kh" hidden="1">{"'Sheet1'!$L$16"}</definedName>
    <definedName name="lam" localSheetId="0" hidden="1">{"'Sheet1'!$L$16"}</definedName>
    <definedName name="lam" hidden="1">{"'Sheet1'!$L$16"}</definedName>
    <definedName name="MAJ_CON_EQP" localSheetId="0">#REF!</definedName>
    <definedName name="MAJ_CON_EQP">#REF!</definedName>
    <definedName name="MG_A" localSheetId="0">#REF!</definedName>
    <definedName name="MG_A">#REF!</definedName>
    <definedName name="nam" localSheetId="0" hidden="1">{"'Sheet1'!$L$16"}</definedName>
    <definedName name="nam" hidden="1">{"'Sheet1'!$L$16"}</definedName>
    <definedName name="NET" localSheetId="0">#REF!</definedName>
    <definedName name="NET">#REF!</definedName>
    <definedName name="NET_1" localSheetId="0">#REF!</definedName>
    <definedName name="NET_1">#REF!</definedName>
    <definedName name="NET_ANA" localSheetId="0">#REF!</definedName>
    <definedName name="NET_ANA">#REF!</definedName>
    <definedName name="NET_ANA_1" localSheetId="0">#REF!</definedName>
    <definedName name="NET_ANA_1">#REF!</definedName>
    <definedName name="NET_ANA_2" localSheetId="0">#REF!</definedName>
    <definedName name="NET_ANA_2">#REF!</definedName>
    <definedName name="PRICE" localSheetId="0">#REF!</definedName>
    <definedName name="PRICE">#REF!</definedName>
    <definedName name="PRICE1" localSheetId="0">#REF!</definedName>
    <definedName name="PRICE1">#REF!</definedName>
    <definedName name="_xlnm.Print_Area" localSheetId="0">'PL5 DƠN GIÁ CHI TIẾT'!$A$1:$Y$52</definedName>
    <definedName name="_xlnm.Print_Area">#REF!</definedName>
    <definedName name="_xlnm.Print_Titles" localSheetId="0">'PL5 DƠN GIÁ CHI TIẾT'!$2:$4</definedName>
    <definedName name="_xlnm.Print_Titles">#REF!</definedName>
    <definedName name="Print_Titles_MI" localSheetId="0">#REF!</definedName>
    <definedName name="Print_Titles_MI">#REF!</definedName>
    <definedName name="PRINTA" localSheetId="0">#REF!</definedName>
    <definedName name="PRINTA">#REF!</definedName>
    <definedName name="PRINTB" localSheetId="0">#REF!</definedName>
    <definedName name="PRINTB">#REF!</definedName>
    <definedName name="PRINTC" localSheetId="0">#REF!</definedName>
    <definedName name="PRINTC">#REF!</definedName>
    <definedName name="PROPOSAL" localSheetId="0">#REF!</definedName>
    <definedName name="PROPOSAL">#REF!</definedName>
    <definedName name="qhsx882" localSheetId="0" hidden="1">{"'Sheet1'!$L$16"}</definedName>
    <definedName name="qhsx882" hidden="1">{"'Sheet1'!$L$16"}</definedName>
    <definedName name="RECOUT">#N/A</definedName>
    <definedName name="RFP003A" localSheetId="0">#REF!</definedName>
    <definedName name="RFP003A">#REF!</definedName>
    <definedName name="RFP003B" localSheetId="0">#REF!</definedName>
    <definedName name="RFP003B">#REF!</definedName>
    <definedName name="RFP003C" localSheetId="0">#REF!</definedName>
    <definedName name="RFP003C">#REF!</definedName>
    <definedName name="RFP003D" localSheetId="0">#REF!</definedName>
    <definedName name="RFP003D">#REF!</definedName>
    <definedName name="RFP003E" localSheetId="0">#REF!</definedName>
    <definedName name="RFP003E">#REF!</definedName>
    <definedName name="RFP003F" localSheetId="0">#REF!</definedName>
    <definedName name="RFP003F">#REF!</definedName>
    <definedName name="SCH" localSheetId="0">#REF!</definedName>
    <definedName name="SCH">#REF!</definedName>
    <definedName name="sencount" hidden="1">1</definedName>
    <definedName name="SIZE" localSheetId="0">#REF!</definedName>
    <definedName name="SIZE">#REF!</definedName>
    <definedName name="SORT" localSheetId="0">#REF!</definedName>
    <definedName name="SORT">#REF!</definedName>
    <definedName name="SPEC" localSheetId="0">#REF!</definedName>
    <definedName name="SPEC">#REF!</definedName>
    <definedName name="SPECSUMMARY" localSheetId="0">#REF!</definedName>
    <definedName name="SPECSUMMARY">#REF!</definedName>
    <definedName name="Start_1" localSheetId="0">#REF!</definedName>
    <definedName name="Start_1">#REF!</definedName>
    <definedName name="Start_10" localSheetId="0">#REF!</definedName>
    <definedName name="Start_10">#REF!</definedName>
    <definedName name="Start_11" localSheetId="0">#REF!</definedName>
    <definedName name="Start_11">#REF!</definedName>
    <definedName name="Start_12" localSheetId="0">#REF!</definedName>
    <definedName name="Start_12">#REF!</definedName>
    <definedName name="Start_13" localSheetId="0">#REF!</definedName>
    <definedName name="Start_13">#REF!</definedName>
    <definedName name="Start_2" localSheetId="0">#REF!</definedName>
    <definedName name="Start_2">#REF!</definedName>
    <definedName name="Start_3" localSheetId="0">#REF!</definedName>
    <definedName name="Start_3">#REF!</definedName>
    <definedName name="Start_4" localSheetId="0">#REF!</definedName>
    <definedName name="Start_4">#REF!</definedName>
    <definedName name="Start_5" localSheetId="0">#REF!</definedName>
    <definedName name="Start_5">#REF!</definedName>
    <definedName name="Start_6" localSheetId="0">#REF!</definedName>
    <definedName name="Start_6">#REF!</definedName>
    <definedName name="Start_7" localSheetId="0">#REF!</definedName>
    <definedName name="Start_7">#REF!</definedName>
    <definedName name="Start_8" localSheetId="0">#REF!</definedName>
    <definedName name="Start_8">#REF!</definedName>
    <definedName name="Start_9" localSheetId="0">#REF!</definedName>
    <definedName name="Start_9">#REF!</definedName>
    <definedName name="SUMMARY" localSheetId="0">#REF!</definedName>
    <definedName name="SUMMARY">#REF!</definedName>
    <definedName name="TaxTV">10%</definedName>
    <definedName name="TaxXL">5%</definedName>
    <definedName name="thu" localSheetId="0" hidden="1">{"'Sheet1'!$L$16"}</definedName>
    <definedName name="thu" hidden="1">{"'Sheet1'!$L$16"}</definedName>
    <definedName name="TITAN" localSheetId="0">#REF!</definedName>
    <definedName name="TITAN">#REF!</definedName>
    <definedName name="TKYB">"TKYB"</definedName>
    <definedName name="tm" localSheetId="0" hidden="1">{"'Sheet1'!$L$16"}</definedName>
    <definedName name="tm" hidden="1">{"'Sheet1'!$L$16"}</definedName>
    <definedName name="TN">"$A$1:$I$11"</definedName>
    <definedName name="TPLRP" localSheetId="0">#REF!</definedName>
    <definedName name="TPLRP">#REF!</definedName>
    <definedName name="TRADE2" localSheetId="0">#REF!</definedName>
    <definedName name="TRADE2">#REF!</definedName>
    <definedName name="TrTSQ" localSheetId="0" hidden="1">{"'Sheet1'!$L$16"}</definedName>
    <definedName name="TrTSQ" hidden="1">{"'Sheet1'!$L$16"}</definedName>
    <definedName name="tung" localSheetId="0" hidden="1">{"'Sheet1'!$L$16"}</definedName>
    <definedName name="tung" hidden="1">{"'Sheet1'!$L$16"}</definedName>
    <definedName name="VARIINST" localSheetId="0">#REF!</definedName>
    <definedName name="VARIINST">#REF!</definedName>
    <definedName name="VARIPURC" localSheetId="0">#REF!</definedName>
    <definedName name="VARIPURC">#REF!</definedName>
    <definedName name="viet" localSheetId="0" hidden="1">{"'Sheet1'!$L$16"}</definedName>
    <definedName name="viet" hidden="1">{"'Sheet1'!$L$16"}</definedName>
    <definedName name="viet_exe" localSheetId="0" hidden="1">{"'Sheet1'!$L$16"}</definedName>
    <definedName name="viet_exe" hidden="1">{"'Sheet1'!$L$16"}</definedName>
    <definedName name="VPP2004Hong" localSheetId="0" hidden="1">{"'Sheet1'!$L$16"}</definedName>
    <definedName name="VPP2004Hong" hidden="1">{"'Sheet1'!$L$16"}</definedName>
    <definedName name="W" localSheetId="0">#REF!</definedName>
    <definedName name="W">#REF!</definedName>
    <definedName name="wrn.chi._.tiÆt." localSheetId="0" hidden="1">{#N/A,#N/A,FALSE,"Chi tiÆt"}</definedName>
    <definedName name="wrn.chi._.tiÆt." hidden="1">{#N/A,#N/A,FALSE,"Chi tiÆt"}</definedName>
    <definedName name="X" localSheetId="0">#REF!</definedName>
    <definedName name="X">#REF!</definedName>
    <definedName name="XCCT">0.5</definedName>
    <definedName name="XL" localSheetId="0" hidden="1">{"'Sheet1'!$L$16"}</definedName>
    <definedName name="XL" hidden="1">{"'Sheet1'!$L$16"}</definedName>
    <definedName name="ZYX" localSheetId="0">#REF!</definedName>
    <definedName name="ZYX">#REF!</definedName>
    <definedName name="ZZZ" localSheetId="0">#REF!</definedName>
    <definedName name="ZZZ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" i="3"/>
  <c r="A25" i="3"/>
  <c r="A26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" i="3"/>
  <c r="U52" i="2"/>
  <c r="S52" i="2"/>
  <c r="Q52" i="2"/>
  <c r="O52" i="2"/>
  <c r="G52" i="2"/>
  <c r="AC51" i="2"/>
  <c r="Q51" i="2" s="1"/>
  <c r="Q50" i="2" s="1"/>
  <c r="U51" i="2"/>
  <c r="S51" i="2"/>
  <c r="G51" i="2"/>
  <c r="AC50" i="2"/>
  <c r="U50" i="2"/>
  <c r="T50" i="2"/>
  <c r="S50" i="2"/>
  <c r="R50" i="2"/>
  <c r="P50" i="2"/>
  <c r="N50" i="2"/>
  <c r="G50" i="2"/>
  <c r="F50" i="2"/>
  <c r="AC49" i="2"/>
  <c r="U49" i="2" s="1"/>
  <c r="U48" i="2" s="1"/>
  <c r="S49" i="2"/>
  <c r="Q49" i="2"/>
  <c r="O49" i="2"/>
  <c r="O48" i="2" s="1"/>
  <c r="G49" i="2"/>
  <c r="AC48" i="2"/>
  <c r="T48" i="2"/>
  <c r="S48" i="2"/>
  <c r="R48" i="2"/>
  <c r="Q48" i="2"/>
  <c r="P48" i="2"/>
  <c r="N48" i="2"/>
  <c r="G48" i="2"/>
  <c r="F48" i="2"/>
  <c r="AC47" i="2"/>
  <c r="U47" i="2"/>
  <c r="S47" i="2"/>
  <c r="Q47" i="2"/>
  <c r="O47" i="2"/>
  <c r="F47" i="2"/>
  <c r="E47" i="2"/>
  <c r="F46" i="2"/>
  <c r="AC46" i="2" s="1"/>
  <c r="E46" i="2"/>
  <c r="P45" i="2"/>
  <c r="N45" i="2"/>
  <c r="G45" i="2"/>
  <c r="F45" i="2"/>
  <c r="AC45" i="2" s="1"/>
  <c r="E45" i="2"/>
  <c r="D45" i="2"/>
  <c r="U44" i="2"/>
  <c r="R44" i="2"/>
  <c r="S44" i="2" s="1"/>
  <c r="S42" i="2" s="1"/>
  <c r="Q44" i="2"/>
  <c r="O44" i="2"/>
  <c r="G44" i="2"/>
  <c r="F44" i="2" s="1"/>
  <c r="D44" i="2"/>
  <c r="U43" i="2"/>
  <c r="S43" i="2"/>
  <c r="Q43" i="2"/>
  <c r="Q42" i="2" s="1"/>
  <c r="P43" i="2"/>
  <c r="O43" i="2"/>
  <c r="O42" i="2" s="1"/>
  <c r="G43" i="2"/>
  <c r="F43" i="2" s="1"/>
  <c r="D43" i="2"/>
  <c r="U42" i="2"/>
  <c r="T42" i="2"/>
  <c r="P42" i="2"/>
  <c r="N42" i="2"/>
  <c r="E42" i="2"/>
  <c r="D42" i="2" s="1"/>
  <c r="U41" i="2"/>
  <c r="S41" i="2"/>
  <c r="R41" i="2"/>
  <c r="Q41" i="2"/>
  <c r="O41" i="2"/>
  <c r="G41" i="2"/>
  <c r="F41" i="2"/>
  <c r="D41" i="2"/>
  <c r="U40" i="2"/>
  <c r="S40" i="2"/>
  <c r="R40" i="2"/>
  <c r="Q40" i="2"/>
  <c r="O40" i="2"/>
  <c r="G40" i="2"/>
  <c r="F40" i="2"/>
  <c r="D40" i="2"/>
  <c r="U39" i="2"/>
  <c r="S39" i="2"/>
  <c r="R39" i="2"/>
  <c r="Q39" i="2"/>
  <c r="O39" i="2"/>
  <c r="G39" i="2"/>
  <c r="F39" i="2"/>
  <c r="D39" i="2"/>
  <c r="U38" i="2"/>
  <c r="S38" i="2"/>
  <c r="R38" i="2"/>
  <c r="Q38" i="2"/>
  <c r="O38" i="2"/>
  <c r="G38" i="2"/>
  <c r="F38" i="2"/>
  <c r="D38" i="2"/>
  <c r="U37" i="2"/>
  <c r="S37" i="2"/>
  <c r="R37" i="2"/>
  <c r="R33" i="2" s="1"/>
  <c r="Q37" i="2"/>
  <c r="O37" i="2"/>
  <c r="G37" i="2"/>
  <c r="F37" i="2"/>
  <c r="D37" i="2"/>
  <c r="U36" i="2"/>
  <c r="S36" i="2"/>
  <c r="Q36" i="2"/>
  <c r="P36" i="2"/>
  <c r="O36" i="2"/>
  <c r="G36" i="2"/>
  <c r="F36" i="2"/>
  <c r="D36" i="2"/>
  <c r="U35" i="2"/>
  <c r="S35" i="2"/>
  <c r="S33" i="2" s="1"/>
  <c r="Q35" i="2"/>
  <c r="P35" i="2"/>
  <c r="O35" i="2"/>
  <c r="O33" i="2" s="1"/>
  <c r="G35" i="2"/>
  <c r="F35" i="2"/>
  <c r="E35" i="2"/>
  <c r="D35" i="2"/>
  <c r="U34" i="2"/>
  <c r="U33" i="2" s="1"/>
  <c r="S34" i="2"/>
  <c r="P34" i="2"/>
  <c r="Q34" i="2" s="1"/>
  <c r="Q33" i="2" s="1"/>
  <c r="O34" i="2"/>
  <c r="G34" i="2"/>
  <c r="G33" i="2" s="1"/>
  <c r="D34" i="2"/>
  <c r="T33" i="2"/>
  <c r="N33" i="2"/>
  <c r="E33" i="2"/>
  <c r="D33" i="2" s="1"/>
  <c r="U32" i="2"/>
  <c r="S32" i="2"/>
  <c r="Q32" i="2"/>
  <c r="O32" i="2"/>
  <c r="G32" i="2"/>
  <c r="F32" i="2" s="1"/>
  <c r="D32" i="2"/>
  <c r="U31" i="2"/>
  <c r="S31" i="2"/>
  <c r="P31" i="2"/>
  <c r="Q31" i="2" s="1"/>
  <c r="O31" i="2"/>
  <c r="G31" i="2"/>
  <c r="F31" i="2" s="1"/>
  <c r="D31" i="2"/>
  <c r="U30" i="2"/>
  <c r="S30" i="2"/>
  <c r="P30" i="2"/>
  <c r="Q30" i="2" s="1"/>
  <c r="O30" i="2"/>
  <c r="G30" i="2"/>
  <c r="F30" i="2" s="1"/>
  <c r="D30" i="2"/>
  <c r="U29" i="2"/>
  <c r="S29" i="2"/>
  <c r="P29" i="2"/>
  <c r="Q29" i="2" s="1"/>
  <c r="O29" i="2"/>
  <c r="G29" i="2"/>
  <c r="F29" i="2" s="1"/>
  <c r="D29" i="2"/>
  <c r="U28" i="2"/>
  <c r="S28" i="2"/>
  <c r="Q28" i="2"/>
  <c r="O28" i="2"/>
  <c r="G28" i="2"/>
  <c r="F28" i="2" s="1"/>
  <c r="D28" i="2"/>
  <c r="U27" i="2"/>
  <c r="S27" i="2"/>
  <c r="Q27" i="2"/>
  <c r="P27" i="2"/>
  <c r="O27" i="2"/>
  <c r="G27" i="2"/>
  <c r="F27" i="2" s="1"/>
  <c r="D27" i="2"/>
  <c r="P26" i="2"/>
  <c r="K26" i="2"/>
  <c r="G26" i="2" s="1"/>
  <c r="F26" i="2" s="1"/>
  <c r="D26" i="2"/>
  <c r="U25" i="2"/>
  <c r="S25" i="2"/>
  <c r="Q25" i="2"/>
  <c r="O25" i="2"/>
  <c r="G25" i="2"/>
  <c r="F25" i="2" s="1"/>
  <c r="D25" i="2"/>
  <c r="U24" i="2"/>
  <c r="S24" i="2"/>
  <c r="Q24" i="2"/>
  <c r="O24" i="2"/>
  <c r="G24" i="2"/>
  <c r="G19" i="2" s="1"/>
  <c r="F24" i="2"/>
  <c r="D24" i="2"/>
  <c r="U23" i="2"/>
  <c r="S23" i="2"/>
  <c r="Q23" i="2"/>
  <c r="O23" i="2"/>
  <c r="G23" i="2"/>
  <c r="F23" i="2"/>
  <c r="D23" i="2"/>
  <c r="U22" i="2"/>
  <c r="R22" i="2"/>
  <c r="S22" i="2" s="1"/>
  <c r="Q22" i="2"/>
  <c r="O22" i="2"/>
  <c r="G22" i="2"/>
  <c r="F22" i="2"/>
  <c r="D22" i="2"/>
  <c r="U21" i="2"/>
  <c r="R21" i="2"/>
  <c r="S21" i="2" s="1"/>
  <c r="Q21" i="2"/>
  <c r="O21" i="2"/>
  <c r="G21" i="2"/>
  <c r="F21" i="2"/>
  <c r="D21" i="2"/>
  <c r="U20" i="2"/>
  <c r="S20" i="2"/>
  <c r="Q20" i="2"/>
  <c r="N20" i="2"/>
  <c r="N19" i="2" s="1"/>
  <c r="G20" i="2"/>
  <c r="F20" i="2"/>
  <c r="D20" i="2"/>
  <c r="T19" i="2"/>
  <c r="P19" i="2"/>
  <c r="E19" i="2"/>
  <c r="D19" i="2"/>
  <c r="D18" i="2" s="1"/>
  <c r="G17" i="2"/>
  <c r="F17" i="2" s="1"/>
  <c r="P16" i="2"/>
  <c r="U15" i="2"/>
  <c r="T15" i="2"/>
  <c r="S15" i="2"/>
  <c r="Q15" i="2"/>
  <c r="O15" i="2"/>
  <c r="J15" i="2"/>
  <c r="E15" i="2"/>
  <c r="I15" i="2" s="1"/>
  <c r="U14" i="2"/>
  <c r="S14" i="2"/>
  <c r="Q14" i="2"/>
  <c r="O14" i="2"/>
  <c r="J14" i="2"/>
  <c r="E14" i="2"/>
  <c r="H14" i="2" s="1"/>
  <c r="T13" i="2"/>
  <c r="U13" i="2" s="1"/>
  <c r="U6" i="2" s="1"/>
  <c r="R13" i="2"/>
  <c r="S13" i="2" s="1"/>
  <c r="P13" i="2"/>
  <c r="Q13" i="2" s="1"/>
  <c r="O13" i="2"/>
  <c r="N13" i="2"/>
  <c r="N6" i="2" s="1"/>
  <c r="N5" i="2" s="1"/>
  <c r="J13" i="2"/>
  <c r="I13" i="2"/>
  <c r="G13" i="2"/>
  <c r="E13" i="2"/>
  <c r="H13" i="2" s="1"/>
  <c r="AC12" i="2"/>
  <c r="U12" i="2"/>
  <c r="S12" i="2"/>
  <c r="Q12" i="2"/>
  <c r="O12" i="2"/>
  <c r="J12" i="2"/>
  <c r="H12" i="2"/>
  <c r="G12" i="2"/>
  <c r="F12" i="2"/>
  <c r="E12" i="2"/>
  <c r="I12" i="2" s="1"/>
  <c r="U11" i="2"/>
  <c r="S11" i="2"/>
  <c r="Q11" i="2"/>
  <c r="O11" i="2"/>
  <c r="J11" i="2"/>
  <c r="E11" i="2"/>
  <c r="I11" i="2" s="1"/>
  <c r="U10" i="2"/>
  <c r="S10" i="2"/>
  <c r="Q10" i="2"/>
  <c r="O10" i="2"/>
  <c r="J10" i="2"/>
  <c r="E10" i="2"/>
  <c r="H10" i="2" s="1"/>
  <c r="U9" i="2"/>
  <c r="S9" i="2"/>
  <c r="Q9" i="2"/>
  <c r="O9" i="2"/>
  <c r="O6" i="2" s="1"/>
  <c r="J9" i="2"/>
  <c r="E9" i="2"/>
  <c r="I9" i="2" s="1"/>
  <c r="AA8" i="2"/>
  <c r="Z8" i="2"/>
  <c r="U8" i="2"/>
  <c r="S8" i="2"/>
  <c r="Q8" i="2"/>
  <c r="O8" i="2"/>
  <c r="J8" i="2"/>
  <c r="H8" i="2"/>
  <c r="G8" i="2"/>
  <c r="F8" i="2"/>
  <c r="AC8" i="2" s="1"/>
  <c r="E8" i="2"/>
  <c r="I8" i="2" s="1"/>
  <c r="U7" i="2"/>
  <c r="S7" i="2"/>
  <c r="S6" i="2" s="1"/>
  <c r="Q7" i="2"/>
  <c r="O7" i="2"/>
  <c r="J7" i="2"/>
  <c r="E7" i="2"/>
  <c r="I7" i="2" s="1"/>
  <c r="P6" i="2"/>
  <c r="P5" i="2" s="1"/>
  <c r="D6" i="2"/>
  <c r="AH4" i="2"/>
  <c r="E18" i="2" l="1"/>
  <c r="S19" i="2"/>
  <c r="S18" i="2" s="1"/>
  <c r="S46" i="2"/>
  <c r="S45" i="2" s="1"/>
  <c r="Q46" i="2"/>
  <c r="Q45" i="2" s="1"/>
  <c r="O46" i="2"/>
  <c r="O45" i="2" s="1"/>
  <c r="U46" i="2"/>
  <c r="U45" i="2" s="1"/>
  <c r="F19" i="2"/>
  <c r="F42" i="2"/>
  <c r="Q6" i="2"/>
  <c r="F16" i="2"/>
  <c r="AC17" i="2"/>
  <c r="AA17" i="2"/>
  <c r="Z17" i="2"/>
  <c r="Z45" i="2"/>
  <c r="E6" i="2"/>
  <c r="E5" i="2" s="1"/>
  <c r="F7" i="2"/>
  <c r="F10" i="2"/>
  <c r="AC10" i="2" s="1"/>
  <c r="F14" i="2"/>
  <c r="AC14" i="2" s="1"/>
  <c r="R19" i="2"/>
  <c r="O26" i="2"/>
  <c r="AA45" i="2"/>
  <c r="D5" i="2"/>
  <c r="R6" i="2"/>
  <c r="R5" i="2" s="1"/>
  <c r="G7" i="2"/>
  <c r="G6" i="2" s="1"/>
  <c r="G10" i="2"/>
  <c r="F13" i="2"/>
  <c r="AC13" i="2" s="1"/>
  <c r="G14" i="2"/>
  <c r="P33" i="2"/>
  <c r="F34" i="2"/>
  <c r="F33" i="2" s="1"/>
  <c r="AC33" i="2" s="1"/>
  <c r="R42" i="2"/>
  <c r="H7" i="2"/>
  <c r="Q26" i="2"/>
  <c r="Q19" i="2" s="1"/>
  <c r="Q18" i="2" s="1"/>
  <c r="T6" i="2"/>
  <c r="T5" i="2" s="1"/>
  <c r="F9" i="2"/>
  <c r="I10" i="2"/>
  <c r="F11" i="2"/>
  <c r="AC11" i="2" s="1"/>
  <c r="I14" i="2"/>
  <c r="I6" i="2" s="1"/>
  <c r="I5" i="2" s="1"/>
  <c r="F15" i="2"/>
  <c r="AC15" i="2" s="1"/>
  <c r="O20" i="2"/>
  <c r="O19" i="2" s="1"/>
  <c r="O18" i="2" s="1"/>
  <c r="O5" i="2" s="1"/>
  <c r="S26" i="2"/>
  <c r="G11" i="2"/>
  <c r="U26" i="2"/>
  <c r="U19" i="2" s="1"/>
  <c r="U18" i="2" s="1"/>
  <c r="G42" i="2"/>
  <c r="G18" i="2" s="1"/>
  <c r="H9" i="2"/>
  <c r="H11" i="2"/>
  <c r="H15" i="2"/>
  <c r="O51" i="2"/>
  <c r="O50" i="2" s="1"/>
  <c r="G9" i="2"/>
  <c r="G15" i="2"/>
  <c r="AC9" i="2" l="1"/>
  <c r="AA9" i="2"/>
  <c r="AC19" i="2"/>
  <c r="AA19" i="2"/>
  <c r="Z19" i="2"/>
  <c r="F18" i="2"/>
  <c r="G16" i="2"/>
  <c r="G5" i="2" s="1"/>
  <c r="Z1" i="2" s="1"/>
  <c r="AA2" i="2" s="1"/>
  <c r="AC16" i="2"/>
  <c r="S16" i="2" s="1"/>
  <c r="S5" i="2" s="1"/>
  <c r="H6" i="2"/>
  <c r="H5" i="2" s="1"/>
  <c r="AC7" i="2"/>
  <c r="AA7" i="2"/>
  <c r="F6" i="2"/>
  <c r="Z6" i="2" s="1"/>
  <c r="Q17" i="2"/>
  <c r="Q16" i="2" s="1"/>
  <c r="Q5" i="2" s="1"/>
  <c r="U17" i="2"/>
  <c r="U16" i="2" s="1"/>
  <c r="U5" i="2" s="1"/>
  <c r="S17" i="2"/>
  <c r="Z9" i="2"/>
  <c r="Z7" i="2"/>
  <c r="AB7" i="2" s="1"/>
  <c r="AA18" i="2" l="1"/>
  <c r="AC18" i="2"/>
  <c r="Z18" i="2"/>
  <c r="AA6" i="2"/>
  <c r="F5" i="2"/>
</calcChain>
</file>

<file path=xl/sharedStrings.xml><?xml version="1.0" encoding="utf-8"?>
<sst xmlns="http://schemas.openxmlformats.org/spreadsheetml/2006/main" count="199" uniqueCount="93">
  <si>
    <t>Phụ lục:  KẾ HOẠCH CHI TIÊU NGÂN SÁCH NGÀNH QUÂN KHÍ NĂM 2026</t>
  </si>
  <si>
    <t>TT</t>
  </si>
  <si>
    <t>Nội dung công việc</t>
  </si>
  <si>
    <t>Kế hoạch SL</t>
  </si>
  <si>
    <t>Kinh phí (tr.đồng)</t>
  </si>
  <si>
    <t>Đơn giá (Nghìn đồng)</t>
  </si>
  <si>
    <t>Tiến độ thực hiện</t>
  </si>
  <si>
    <t>CQ, đơn vị thực hiện</t>
  </si>
  <si>
    <t>Ghi chú</t>
  </si>
  <si>
    <t>ĐVT</t>
  </si>
  <si>
    <t xml:space="preserve">Chỉ tiêu </t>
  </si>
  <si>
    <t xml:space="preserve">KH </t>
  </si>
  <si>
    <t>Quí I</t>
  </si>
  <si>
    <t>Quí II</t>
  </si>
  <si>
    <t>Quí III</t>
  </si>
  <si>
    <t>Quí IV</t>
  </si>
  <si>
    <t>PX</t>
  </si>
  <si>
    <t>Ban</t>
  </si>
  <si>
    <t>chỉ đạo</t>
  </si>
  <si>
    <t>Tổng</t>
  </si>
  <si>
    <t>Tự chi</t>
  </si>
  <si>
    <t>Hiện vật</t>
  </si>
  <si>
    <t>Dầu mỡ KT</t>
  </si>
  <si>
    <t>+</t>
  </si>
  <si>
    <t>SL</t>
  </si>
  <si>
    <t>NS
(TC)</t>
  </si>
  <si>
    <t>I</t>
  </si>
  <si>
    <t>Ngành Quân khí</t>
  </si>
  <si>
    <t>SCV Vũ khí, khí tài</t>
  </si>
  <si>
    <t>VK</t>
  </si>
  <si>
    <t>KH, KT</t>
  </si>
  <si>
    <t>BGĐ</t>
  </si>
  <si>
    <t>PMĐ, PCT</t>
  </si>
  <si>
    <t>-</t>
  </si>
  <si>
    <t>Pháo mặt đất</t>
  </si>
  <si>
    <t>Khẩu</t>
  </si>
  <si>
    <t>"</t>
  </si>
  <si>
    <t>Pháo chống tăng</t>
  </si>
  <si>
    <t>Pháo Cao xạ</t>
  </si>
  <si>
    <t>SBB</t>
  </si>
  <si>
    <t>Súng ĐKZ</t>
  </si>
  <si>
    <t>Súng cối</t>
  </si>
  <si>
    <t>Súng Cao xạ</t>
  </si>
  <si>
    <t>Súng bộ binh</t>
  </si>
  <si>
    <t>Khí tài quang học</t>
  </si>
  <si>
    <t>Cái</t>
  </si>
  <si>
    <t>Nhuộm đen</t>
  </si>
  <si>
    <t>Sửa chữa TTB CN</t>
  </si>
  <si>
    <t>CK</t>
  </si>
  <si>
    <t>Sửa chữa giá súng</t>
  </si>
  <si>
    <t>KTQH</t>
  </si>
  <si>
    <t>Đồng bộ VKTBKT (nhiệm vụ TX)</t>
  </si>
  <si>
    <t>SX chi tiết cơ khí</t>
  </si>
  <si>
    <t>Bộ, Cái</t>
  </si>
  <si>
    <t>Khuy dây đeo AK</t>
  </si>
  <si>
    <t>Đế báng AK + vít</t>
  </si>
  <si>
    <t>Bộ</t>
  </si>
  <si>
    <t>Bộ phát hoả K54</t>
  </si>
  <si>
    <t>Nhíp cò RPĐ</t>
  </si>
  <si>
    <t>Nắp che bụi RPĐ</t>
  </si>
  <si>
    <t>Khoá an toàn + nhíp RPĐ</t>
  </si>
  <si>
    <t>Vòng bịt kín khi thuốc Cối 100</t>
  </si>
  <si>
    <t>Vòng bịt kín khi thuốc Cối 82</t>
  </si>
  <si>
    <t>Khoá đế cối 60mm</t>
  </si>
  <si>
    <t>Tay nắm nắp hậu 12,7mm</t>
  </si>
  <si>
    <t>Then hãm nòng + Đai ốc 12,7mm</t>
  </si>
  <si>
    <t>Bọt nước giường PCX 37</t>
  </si>
  <si>
    <t>Bạc giảm xóc PCX 37</t>
  </si>
  <si>
    <t>Chi tiết nhựa</t>
  </si>
  <si>
    <t>Ốp lót tay dưới AK</t>
  </si>
  <si>
    <t>Ốp lót tay trên AK</t>
  </si>
  <si>
    <t>Tay cầm AK</t>
  </si>
  <si>
    <t>Báng súng AKM</t>
  </si>
  <si>
    <t>Ốp tay cầm K54</t>
  </si>
  <si>
    <t>Ốp chống nóng + đai ốc B41</t>
  </si>
  <si>
    <t>Ốp tay cò B41</t>
  </si>
  <si>
    <t>Ốp chóng nóng ĐKZ 82 K65CT</t>
  </si>
  <si>
    <t>Sản xuất chi tiết gỗ</t>
  </si>
  <si>
    <t>Báng súng CKC</t>
  </si>
  <si>
    <t>Tạo nguồn vật tư KT</t>
  </si>
  <si>
    <t xml:space="preserve">- </t>
  </si>
  <si>
    <t>Sản xuất khuôn đúc ốp chân Súng đại liên PKMS</t>
  </si>
  <si>
    <t>Sản xuất khuôn dập vành loa phụt súng B41</t>
  </si>
  <si>
    <t>KT quân khí nội bộ</t>
  </si>
  <si>
    <t>Bảo quản VK SSCĐ</t>
  </si>
  <si>
    <t>Nghiệp vụ ngành QK</t>
  </si>
  <si>
    <t>Bảo đảm số sách QK</t>
  </si>
  <si>
    <t>Pháp chế</t>
  </si>
  <si>
    <t>KH</t>
  </si>
  <si>
    <t>BGD</t>
  </si>
  <si>
    <t>CHI TIẾT</t>
  </si>
  <si>
    <t>ĐƠN GIÁ</t>
  </si>
  <si>
    <t>Thép cuộn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</si>
</sst>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₫_-;\-* #,##0.00\ _₫_-;_-* &quot;-&quot;??\ _₫_-;_-@_-"/>
    <numFmt numFmtId="165" formatCode="_-* #,##0\ _₫_-;\-* #,##0\ _₫_-;_-* &quot;-&quot;??\ _₫_-;_-@_-"/>
    <numFmt numFmtId="166" formatCode="#,##0.0"/>
    <numFmt numFmtId="167" formatCode="0.0"/>
    <numFmt numFmtId="168" formatCode="#,##0.000"/>
    <numFmt numFmtId="169" formatCode="0.000;\-0.000;;@"/>
    <numFmt numFmtId="170" formatCode="0;\-0;;@"/>
    <numFmt numFmtId="171" formatCode="0.00;\-0.00;;@"/>
    <numFmt numFmtId="172" formatCode="_-* #,##0.000\ _₫_-;\-* #,##0.000\ _₫_-;_-* &quot;-&quot;??\ _₫_-;_-@_-"/>
  </numFmts>
  <fonts count="20">
    <font>
      <sz val="12"/>
      <color theme="1"/>
      <name val="Calibri"/>
      <family val="2"/>
      <scheme val="minor"/>
    </font>
    <font>
      <sz val="1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i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name val=".VnTime"/>
      <family val="2"/>
    </font>
    <font>
      <sz val="14"/>
      <color theme="1"/>
      <name val="Times New Roman"/>
      <family val="1"/>
    </font>
    <font>
      <sz val="10"/>
      <name val=".VnArial"/>
      <family val="2"/>
    </font>
    <font>
      <sz val="13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4"/>
      <color theme="1"/>
      <name val="Calibri Light"/>
      <family val="1"/>
      <scheme val="major"/>
    </font>
    <font>
      <sz val="13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i/>
      <sz val="14"/>
      <color theme="1"/>
      <name val="Times New Roman"/>
      <family val="1"/>
    </font>
    <font>
      <sz val="11"/>
      <color indexed="10"/>
      <name val="Times New Roman"/>
      <family val="1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164" fontId="4" fillId="0" borderId="0" applyFont="0" applyFill="0" applyBorder="0" applyAlignment="0" applyProtection="0"/>
  </cellStyleXfs>
  <cellXfs count="182">
    <xf numFmtId="0" fontId="0" fillId="0" borderId="0" xfId="0"/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/>
    </xf>
    <xf numFmtId="165" fontId="2" fillId="2" borderId="1" xfId="2" applyNumberFormat="1" applyFont="1" applyFill="1" applyBorder="1" applyAlignment="1">
      <alignment horizontal="right" vertical="top" wrapText="1"/>
    </xf>
    <xf numFmtId="166" fontId="2" fillId="2" borderId="1" xfId="1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right" vertical="top"/>
    </xf>
    <xf numFmtId="1" fontId="2" fillId="2" borderId="1" xfId="2" applyNumberFormat="1" applyFont="1" applyFill="1" applyBorder="1" applyAlignment="1">
      <alignment horizontal="right" vertical="top" wrapText="1"/>
    </xf>
    <xf numFmtId="167" fontId="2" fillId="2" borderId="1" xfId="1" applyNumberFormat="1" applyFont="1" applyFill="1" applyBorder="1" applyAlignment="1">
      <alignment horizontal="center" vertical="top"/>
    </xf>
    <xf numFmtId="168" fontId="3" fillId="0" borderId="0" xfId="1" applyNumberFormat="1" applyFont="1"/>
    <xf numFmtId="168" fontId="5" fillId="3" borderId="2" xfId="3" applyNumberFormat="1" applyFont="1" applyFill="1" applyBorder="1" applyAlignment="1">
      <alignment horizontal="center" vertical="center" wrapText="1"/>
    </xf>
    <xf numFmtId="0" fontId="3" fillId="0" borderId="0" xfId="1" applyFont="1"/>
    <xf numFmtId="0" fontId="1" fillId="0" borderId="0" xfId="1"/>
    <xf numFmtId="0" fontId="2" fillId="0" borderId="3" xfId="1" applyFont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165" fontId="2" fillId="2" borderId="3" xfId="2" applyNumberFormat="1" applyFont="1" applyFill="1" applyBorder="1" applyAlignment="1">
      <alignment horizontal="center" vertical="center" wrapText="1"/>
    </xf>
    <xf numFmtId="166" fontId="2" fillId="2" borderId="4" xfId="1" applyNumberFormat="1" applyFont="1" applyFill="1" applyBorder="1" applyAlignment="1">
      <alignment horizontal="center" vertical="center" wrapText="1"/>
    </xf>
    <xf numFmtId="166" fontId="2" fillId="2" borderId="5" xfId="1" applyNumberFormat="1" applyFont="1" applyFill="1" applyBorder="1" applyAlignment="1">
      <alignment horizontal="center" vertical="center" wrapText="1"/>
    </xf>
    <xf numFmtId="166" fontId="2" fillId="2" borderId="6" xfId="1" applyNumberFormat="1" applyFont="1" applyFill="1" applyBorder="1" applyAlignment="1">
      <alignment horizontal="center" vertical="center" wrapText="1"/>
    </xf>
    <xf numFmtId="4" fontId="2" fillId="2" borderId="4" xfId="1" applyNumberFormat="1" applyFont="1" applyFill="1" applyBorder="1" applyAlignment="1">
      <alignment horizontal="center" vertical="center" wrapText="1"/>
    </xf>
    <xf numFmtId="4" fontId="2" fillId="2" borderId="5" xfId="1" applyNumberFormat="1" applyFont="1" applyFill="1" applyBorder="1" applyAlignment="1">
      <alignment horizontal="center" vertical="center" wrapText="1"/>
    </xf>
    <xf numFmtId="4" fontId="2" fillId="2" borderId="6" xfId="1" applyNumberFormat="1" applyFont="1" applyFill="1" applyBorder="1" applyAlignment="1">
      <alignment horizontal="center" vertical="center" wrapText="1"/>
    </xf>
    <xf numFmtId="1" fontId="2" fillId="2" borderId="3" xfId="2" applyNumberFormat="1" applyFont="1" applyFill="1" applyBorder="1" applyAlignment="1">
      <alignment horizontal="center" vertical="center" wrapText="1"/>
    </xf>
    <xf numFmtId="167" fontId="2" fillId="2" borderId="3" xfId="1" applyNumberFormat="1" applyFont="1" applyFill="1" applyBorder="1" applyAlignment="1">
      <alignment horizontal="center" vertical="center" wrapText="1"/>
    </xf>
    <xf numFmtId="166" fontId="2" fillId="2" borderId="7" xfId="1" applyNumberFormat="1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166" fontId="2" fillId="2" borderId="8" xfId="1" applyNumberFormat="1" applyFont="1" applyFill="1" applyBorder="1" applyAlignment="1">
      <alignment horizontal="center" vertical="center" wrapText="1"/>
    </xf>
    <xf numFmtId="4" fontId="2" fillId="2" borderId="7" xfId="1" applyNumberFormat="1" applyFont="1" applyFill="1" applyBorder="1" applyAlignment="1">
      <alignment horizontal="center" vertical="center" wrapText="1"/>
    </xf>
    <xf numFmtId="4" fontId="2" fillId="2" borderId="1" xfId="1" applyNumberFormat="1" applyFont="1" applyFill="1" applyBorder="1" applyAlignment="1">
      <alignment horizontal="center" vertical="center" wrapText="1"/>
    </xf>
    <xf numFmtId="4" fontId="2" fillId="2" borderId="8" xfId="1" applyNumberFormat="1" applyFont="1" applyFill="1" applyBorder="1" applyAlignment="1">
      <alignment horizontal="center" vertical="center" wrapText="1"/>
    </xf>
    <xf numFmtId="169" fontId="2" fillId="2" borderId="3" xfId="1" applyNumberFormat="1" applyFont="1" applyFill="1" applyBorder="1" applyAlignment="1">
      <alignment horizontal="center" vertical="center" wrapText="1"/>
    </xf>
    <xf numFmtId="166" fontId="2" fillId="2" borderId="3" xfId="1" applyNumberFormat="1" applyFont="1" applyFill="1" applyBorder="1" applyAlignment="1">
      <alignment horizontal="center" vertical="center" wrapText="1"/>
    </xf>
    <xf numFmtId="4" fontId="2" fillId="2" borderId="3" xfId="1" applyNumberFormat="1" applyFont="1" applyFill="1" applyBorder="1" applyAlignment="1">
      <alignment horizontal="center" vertical="center" wrapText="1"/>
    </xf>
    <xf numFmtId="168" fontId="2" fillId="2" borderId="3" xfId="1" applyNumberFormat="1" applyFont="1" applyFill="1" applyBorder="1" applyAlignment="1">
      <alignment horizontal="center" vertical="center" wrapText="1"/>
    </xf>
    <xf numFmtId="170" fontId="2" fillId="2" borderId="3" xfId="2" applyNumberFormat="1" applyFont="1" applyFill="1" applyBorder="1" applyAlignment="1">
      <alignment horizontal="center" vertical="center" wrapText="1"/>
    </xf>
    <xf numFmtId="169" fontId="5" fillId="2" borderId="3" xfId="1" applyNumberFormat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9" xfId="1" applyFont="1" applyBorder="1" applyAlignment="1">
      <alignment vertical="center" wrapText="1"/>
    </xf>
    <xf numFmtId="0" fontId="2" fillId="2" borderId="9" xfId="1" applyFont="1" applyFill="1" applyBorder="1" applyAlignment="1">
      <alignment horizontal="center" vertical="center" wrapText="1"/>
    </xf>
    <xf numFmtId="3" fontId="5" fillId="2" borderId="9" xfId="1" applyNumberFormat="1" applyFont="1" applyFill="1" applyBorder="1" applyAlignment="1">
      <alignment horizontal="center" vertical="center" wrapText="1"/>
    </xf>
    <xf numFmtId="171" fontId="5" fillId="2" borderId="9" xfId="1" applyNumberFormat="1" applyFont="1" applyFill="1" applyBorder="1" applyAlignment="1">
      <alignment horizontal="center" vertical="center" wrapText="1"/>
    </xf>
    <xf numFmtId="169" fontId="5" fillId="2" borderId="9" xfId="1" applyNumberFormat="1" applyFont="1" applyFill="1" applyBorder="1" applyAlignment="1">
      <alignment horizontal="center" vertical="center" wrapText="1"/>
    </xf>
    <xf numFmtId="4" fontId="5" fillId="2" borderId="9" xfId="1" applyNumberFormat="1" applyFont="1" applyFill="1" applyBorder="1" applyAlignment="1">
      <alignment horizontal="center" vertical="center" wrapText="1"/>
    </xf>
    <xf numFmtId="168" fontId="5" fillId="2" borderId="9" xfId="1" applyNumberFormat="1" applyFont="1" applyFill="1" applyBorder="1" applyAlignment="1">
      <alignment horizontal="right" vertical="center" wrapText="1"/>
    </xf>
    <xf numFmtId="4" fontId="5" fillId="2" borderId="9" xfId="1" applyNumberFormat="1" applyFont="1" applyFill="1" applyBorder="1" applyAlignment="1">
      <alignment horizontal="right" vertical="center" wrapText="1"/>
    </xf>
    <xf numFmtId="170" fontId="5" fillId="2" borderId="9" xfId="1" applyNumberFormat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0" xfId="1" quotePrefix="1" applyFont="1" applyBorder="1" applyAlignment="1">
      <alignment horizontal="left" vertical="center" wrapText="1"/>
    </xf>
    <xf numFmtId="0" fontId="2" fillId="2" borderId="10" xfId="1" applyFont="1" applyFill="1" applyBorder="1" applyAlignment="1">
      <alignment horizontal="center" vertical="center" wrapText="1"/>
    </xf>
    <xf numFmtId="165" fontId="2" fillId="2" borderId="10" xfId="2" applyNumberFormat="1" applyFont="1" applyFill="1" applyBorder="1" applyAlignment="1">
      <alignment horizontal="center" vertical="center" wrapText="1"/>
    </xf>
    <xf numFmtId="169" fontId="2" fillId="2" borderId="10" xfId="2" applyNumberFormat="1" applyFont="1" applyFill="1" applyBorder="1" applyAlignment="1">
      <alignment horizontal="center" vertical="center" wrapText="1"/>
    </xf>
    <xf numFmtId="4" fontId="2" fillId="2" borderId="10" xfId="2" applyNumberFormat="1" applyFont="1" applyFill="1" applyBorder="1" applyAlignment="1">
      <alignment horizontal="center" vertical="center" wrapText="1"/>
    </xf>
    <xf numFmtId="164" fontId="2" fillId="2" borderId="10" xfId="2" applyFont="1" applyFill="1" applyBorder="1" applyAlignment="1">
      <alignment horizontal="center" vertical="center" wrapText="1"/>
    </xf>
    <xf numFmtId="168" fontId="2" fillId="2" borderId="10" xfId="2" applyNumberFormat="1" applyFont="1" applyFill="1" applyBorder="1" applyAlignment="1">
      <alignment horizontal="center" vertical="center" wrapText="1"/>
    </xf>
    <xf numFmtId="170" fontId="2" fillId="2" borderId="10" xfId="2" applyNumberFormat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/>
    </xf>
    <xf numFmtId="0" fontId="1" fillId="4" borderId="9" xfId="1" applyFill="1" applyBorder="1" applyAlignment="1">
      <alignment horizontal="left" vertical="center"/>
    </xf>
    <xf numFmtId="0" fontId="8" fillId="2" borderId="10" xfId="4" applyFont="1" applyFill="1" applyBorder="1" applyAlignment="1">
      <alignment horizontal="left" vertical="center" wrapText="1"/>
    </xf>
    <xf numFmtId="0" fontId="8" fillId="2" borderId="10" xfId="4" quotePrefix="1" applyFont="1" applyFill="1" applyBorder="1" applyAlignment="1">
      <alignment horizontal="center" vertical="center"/>
    </xf>
    <xf numFmtId="3" fontId="8" fillId="2" borderId="10" xfId="5" applyNumberFormat="1" applyFont="1" applyFill="1" applyBorder="1" applyAlignment="1">
      <alignment horizontal="center" vertical="center"/>
    </xf>
    <xf numFmtId="3" fontId="8" fillId="2" borderId="10" xfId="6" applyNumberFormat="1" applyFont="1" applyFill="1" applyBorder="1" applyAlignment="1">
      <alignment horizontal="center" vertical="center"/>
    </xf>
    <xf numFmtId="169" fontId="8" fillId="2" borderId="10" xfId="7" applyNumberFormat="1" applyFont="1" applyFill="1" applyBorder="1" applyAlignment="1">
      <alignment horizontal="center" vertical="center"/>
    </xf>
    <xf numFmtId="166" fontId="8" fillId="2" borderId="10" xfId="7" applyNumberFormat="1" applyFont="1" applyFill="1" applyBorder="1" applyAlignment="1">
      <alignment horizontal="center" vertical="center"/>
    </xf>
    <xf numFmtId="167" fontId="8" fillId="2" borderId="10" xfId="7" applyNumberFormat="1" applyFont="1" applyFill="1" applyBorder="1" applyAlignment="1">
      <alignment horizontal="center" vertical="center"/>
    </xf>
    <xf numFmtId="168" fontId="8" fillId="2" borderId="10" xfId="7" applyNumberFormat="1" applyFont="1" applyFill="1" applyBorder="1" applyAlignment="1">
      <alignment horizontal="center" vertical="center"/>
    </xf>
    <xf numFmtId="170" fontId="8" fillId="2" borderId="10" xfId="2" applyNumberFormat="1" applyFont="1" applyFill="1" applyBorder="1" applyAlignment="1">
      <alignment horizontal="center" vertical="center" wrapText="1"/>
    </xf>
    <xf numFmtId="169" fontId="8" fillId="2" borderId="10" xfId="1" applyNumberFormat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 wrapText="1"/>
    </xf>
    <xf numFmtId="0" fontId="8" fillId="0" borderId="10" xfId="1" applyFont="1" applyBorder="1" applyAlignment="1">
      <alignment horizontal="right" vertical="center" wrapText="1"/>
    </xf>
    <xf numFmtId="3" fontId="3" fillId="0" borderId="10" xfId="1" applyNumberFormat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3" fontId="3" fillId="0" borderId="10" xfId="1" applyNumberFormat="1" applyFont="1" applyBorder="1" applyAlignment="1">
      <alignment horizontal="left" vertical="center"/>
    </xf>
    <xf numFmtId="0" fontId="11" fillId="0" borderId="10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11" fillId="0" borderId="11" xfId="1" applyFont="1" applyBorder="1" applyAlignment="1">
      <alignment horizontal="left" vertical="center"/>
    </xf>
    <xf numFmtId="0" fontId="8" fillId="0" borderId="10" xfId="4" applyFont="1" applyBorder="1" applyAlignment="1">
      <alignment horizontal="left" vertical="center" wrapText="1"/>
    </xf>
    <xf numFmtId="3" fontId="8" fillId="2" borderId="10" xfId="1" applyNumberFormat="1" applyFont="1" applyFill="1" applyBorder="1" applyAlignment="1">
      <alignment horizontal="center" vertical="center"/>
    </xf>
    <xf numFmtId="0" fontId="11" fillId="0" borderId="9" xfId="1" applyFont="1" applyBorder="1" applyAlignment="1">
      <alignment horizontal="left" vertical="center"/>
    </xf>
    <xf numFmtId="168" fontId="8" fillId="2" borderId="10" xfId="4" applyNumberFormat="1" applyFont="1" applyFill="1" applyBorder="1" applyAlignment="1">
      <alignment horizontal="center" vertical="center"/>
    </xf>
    <xf numFmtId="167" fontId="8" fillId="2" borderId="10" xfId="4" applyNumberFormat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 wrapText="1"/>
    </xf>
    <xf numFmtId="0" fontId="8" fillId="0" borderId="10" xfId="1" quotePrefix="1" applyFont="1" applyBorder="1" applyAlignment="1">
      <alignment horizontal="left" vertical="center" wrapText="1"/>
    </xf>
    <xf numFmtId="165" fontId="8" fillId="2" borderId="10" xfId="2" applyNumberFormat="1" applyFont="1" applyFill="1" applyBorder="1" applyAlignment="1">
      <alignment horizontal="center" vertical="center" wrapText="1"/>
    </xf>
    <xf numFmtId="0" fontId="2" fillId="2" borderId="10" xfId="6" applyFont="1" applyFill="1" applyBorder="1" applyAlignment="1">
      <alignment horizontal="center" vertical="center"/>
    </xf>
    <xf numFmtId="169" fontId="2" fillId="2" borderId="10" xfId="4" applyNumberFormat="1" applyFont="1" applyFill="1" applyBorder="1" applyAlignment="1">
      <alignment horizontal="center" vertical="center"/>
    </xf>
    <xf numFmtId="166" fontId="2" fillId="2" borderId="10" xfId="4" applyNumberFormat="1" applyFont="1" applyFill="1" applyBorder="1" applyAlignment="1">
      <alignment horizontal="center" vertical="center"/>
    </xf>
    <xf numFmtId="4" fontId="2" fillId="2" borderId="10" xfId="4" applyNumberFormat="1" applyFont="1" applyFill="1" applyBorder="1" applyAlignment="1">
      <alignment horizontal="center" vertical="center"/>
    </xf>
    <xf numFmtId="168" fontId="2" fillId="2" borderId="10" xfId="4" applyNumberFormat="1" applyFont="1" applyFill="1" applyBorder="1" applyAlignment="1">
      <alignment horizontal="center" vertical="center"/>
    </xf>
    <xf numFmtId="169" fontId="2" fillId="2" borderId="10" xfId="1" applyNumberFormat="1" applyFont="1" applyFill="1" applyBorder="1" applyAlignment="1">
      <alignment horizontal="center" vertical="center"/>
    </xf>
    <xf numFmtId="169" fontId="2" fillId="2" borderId="10" xfId="1" applyNumberFormat="1" applyFont="1" applyFill="1" applyBorder="1" applyAlignment="1">
      <alignment horizontal="center" vertical="center" wrapText="1"/>
    </xf>
    <xf numFmtId="0" fontId="2" fillId="0" borderId="10" xfId="1" applyFont="1" applyBorder="1" applyAlignment="1">
      <alignment horizontal="right" vertical="center" wrapText="1"/>
    </xf>
    <xf numFmtId="0" fontId="12" fillId="0" borderId="10" xfId="1" applyFont="1" applyBorder="1" applyAlignment="1">
      <alignment horizontal="left" vertical="center"/>
    </xf>
    <xf numFmtId="0" fontId="13" fillId="0" borderId="10" xfId="1" applyFont="1" applyBorder="1" applyAlignment="1">
      <alignment horizontal="left" vertical="center"/>
    </xf>
    <xf numFmtId="0" fontId="8" fillId="0" borderId="10" xfId="1" applyFont="1" applyBorder="1" applyAlignment="1">
      <alignment horizontal="center" vertical="center" wrapText="1"/>
    </xf>
    <xf numFmtId="0" fontId="8" fillId="2" borderId="10" xfId="8" applyFont="1" applyFill="1" applyBorder="1" applyAlignment="1">
      <alignment horizontal="center" vertical="center"/>
    </xf>
    <xf numFmtId="169" fontId="8" fillId="2" borderId="10" xfId="4" applyNumberFormat="1" applyFont="1" applyFill="1" applyBorder="1" applyAlignment="1">
      <alignment horizontal="center" vertical="center"/>
    </xf>
    <xf numFmtId="166" fontId="8" fillId="2" borderId="10" xfId="4" applyNumberFormat="1" applyFont="1" applyFill="1" applyBorder="1" applyAlignment="1">
      <alignment horizontal="center" vertical="center"/>
    </xf>
    <xf numFmtId="4" fontId="8" fillId="2" borderId="10" xfId="4" applyNumberFormat="1" applyFont="1" applyFill="1" applyBorder="1" applyAlignment="1">
      <alignment horizontal="center" vertical="center"/>
    </xf>
    <xf numFmtId="169" fontId="8" fillId="2" borderId="10" xfId="1" applyNumberFormat="1" applyFont="1" applyFill="1" applyBorder="1" applyAlignment="1">
      <alignment horizontal="center" vertical="center" wrapText="1"/>
    </xf>
    <xf numFmtId="0" fontId="1" fillId="0" borderId="10" xfId="1" applyBorder="1" applyAlignment="1">
      <alignment horizontal="left" vertical="center"/>
    </xf>
    <xf numFmtId="0" fontId="2" fillId="0" borderId="10" xfId="1" applyFont="1" applyBorder="1" applyAlignment="1">
      <alignment horizontal="left" vertical="center" wrapText="1"/>
    </xf>
    <xf numFmtId="165" fontId="2" fillId="2" borderId="10" xfId="8" applyNumberFormat="1" applyFont="1" applyFill="1" applyBorder="1" applyAlignment="1">
      <alignment horizontal="center" vertical="center"/>
    </xf>
    <xf numFmtId="166" fontId="2" fillId="2" borderId="10" xfId="1" applyNumberFormat="1" applyFont="1" applyFill="1" applyBorder="1" applyAlignment="1">
      <alignment horizontal="center" vertical="center" wrapText="1"/>
    </xf>
    <xf numFmtId="4" fontId="2" fillId="2" borderId="10" xfId="1" applyNumberFormat="1" applyFont="1" applyFill="1" applyBorder="1" applyAlignment="1">
      <alignment horizontal="center" vertical="center" wrapText="1"/>
    </xf>
    <xf numFmtId="168" fontId="2" fillId="2" borderId="10" xfId="1" applyNumberFormat="1" applyFont="1" applyFill="1" applyBorder="1" applyAlignment="1">
      <alignment horizontal="center" vertical="center" wrapText="1"/>
    </xf>
    <xf numFmtId="170" fontId="2" fillId="2" borderId="10" xfId="1" applyNumberFormat="1" applyFont="1" applyFill="1" applyBorder="1" applyAlignment="1">
      <alignment horizontal="center" vertical="center" wrapText="1"/>
    </xf>
    <xf numFmtId="0" fontId="11" fillId="4" borderId="10" xfId="1" applyFont="1" applyFill="1" applyBorder="1" applyAlignment="1">
      <alignment horizontal="left" vertical="center"/>
    </xf>
    <xf numFmtId="0" fontId="8" fillId="2" borderId="10" xfId="1" applyFont="1" applyFill="1" applyBorder="1" applyAlignment="1">
      <alignment horizontal="left" vertical="center" wrapText="1"/>
    </xf>
    <xf numFmtId="172" fontId="8" fillId="2" borderId="10" xfId="2" applyNumberFormat="1" applyFont="1" applyFill="1" applyBorder="1" applyAlignment="1">
      <alignment horizontal="center" vertical="center" wrapText="1"/>
    </xf>
    <xf numFmtId="172" fontId="8" fillId="2" borderId="10" xfId="2" applyNumberFormat="1" applyFont="1" applyFill="1" applyBorder="1" applyAlignment="1">
      <alignment vertical="center" wrapText="1"/>
    </xf>
    <xf numFmtId="3" fontId="8" fillId="2" borderId="10" xfId="4" applyNumberFormat="1" applyFont="1" applyFill="1" applyBorder="1" applyAlignment="1">
      <alignment horizontal="center" vertical="center"/>
    </xf>
    <xf numFmtId="169" fontId="8" fillId="2" borderId="10" xfId="2" applyNumberFormat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right" vertical="center" wrapText="1"/>
    </xf>
    <xf numFmtId="0" fontId="3" fillId="2" borderId="11" xfId="1" applyFont="1" applyFill="1" applyBorder="1" applyAlignment="1">
      <alignment horizontal="left" vertical="center"/>
    </xf>
    <xf numFmtId="0" fontId="11" fillId="2" borderId="11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3" fillId="2" borderId="12" xfId="1" applyFont="1" applyFill="1" applyBorder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0" fontId="10" fillId="2" borderId="10" xfId="9" applyFont="1" applyFill="1" applyBorder="1" applyAlignment="1">
      <alignment vertical="center" wrapText="1" shrinkToFit="1"/>
    </xf>
    <xf numFmtId="3" fontId="10" fillId="2" borderId="10" xfId="10" applyNumberFormat="1" applyFont="1" applyFill="1" applyBorder="1" applyAlignment="1">
      <alignment horizontal="right" vertical="center" wrapText="1" shrinkToFit="1"/>
    </xf>
    <xf numFmtId="168" fontId="10" fillId="2" borderId="10" xfId="10" applyNumberFormat="1" applyFont="1" applyFill="1" applyBorder="1" applyAlignment="1">
      <alignment horizontal="center" vertical="center" wrapText="1" shrinkToFit="1"/>
    </xf>
    <xf numFmtId="168" fontId="8" fillId="2" borderId="10" xfId="11" applyNumberFormat="1" applyFont="1" applyFill="1" applyBorder="1" applyAlignment="1">
      <alignment horizontal="center" vertical="center"/>
    </xf>
    <xf numFmtId="170" fontId="10" fillId="2" borderId="10" xfId="10" applyNumberFormat="1" applyFont="1" applyFill="1" applyBorder="1" applyAlignment="1">
      <alignment horizontal="right" vertical="center" wrapText="1" shrinkToFit="1"/>
    </xf>
    <xf numFmtId="169" fontId="10" fillId="2" borderId="10" xfId="10" applyNumberFormat="1" applyFont="1" applyFill="1" applyBorder="1" applyAlignment="1">
      <alignment horizontal="right" vertical="center" wrapText="1" shrinkToFit="1"/>
    </xf>
    <xf numFmtId="0" fontId="14" fillId="0" borderId="10" xfId="1" applyFont="1" applyBorder="1" applyAlignment="1">
      <alignment horizontal="left" vertical="center" wrapText="1"/>
    </xf>
    <xf numFmtId="0" fontId="14" fillId="2" borderId="10" xfId="1" applyFont="1" applyFill="1" applyBorder="1" applyAlignment="1">
      <alignment horizontal="center" vertical="center" wrapText="1"/>
    </xf>
    <xf numFmtId="165" fontId="14" fillId="2" borderId="10" xfId="2" applyNumberFormat="1" applyFont="1" applyFill="1" applyBorder="1" applyAlignment="1">
      <alignment horizontal="center" vertical="center" wrapText="1"/>
    </xf>
    <xf numFmtId="0" fontId="1" fillId="4" borderId="10" xfId="1" applyFill="1" applyBorder="1" applyAlignment="1">
      <alignment horizontal="left" vertical="center"/>
    </xf>
    <xf numFmtId="0" fontId="8" fillId="0" borderId="10" xfId="1" quotePrefix="1" applyFont="1" applyBorder="1" applyAlignment="1">
      <alignment horizontal="center" vertical="center" wrapText="1"/>
    </xf>
    <xf numFmtId="0" fontId="15" fillId="2" borderId="10" xfId="4" applyFont="1" applyFill="1" applyBorder="1" applyAlignment="1">
      <alignment vertical="center" wrapText="1" shrinkToFit="1"/>
    </xf>
    <xf numFmtId="0" fontId="16" fillId="2" borderId="10" xfId="4" applyFont="1" applyFill="1" applyBorder="1" applyAlignment="1">
      <alignment horizontal="center" vertical="center"/>
    </xf>
    <xf numFmtId="165" fontId="16" fillId="2" borderId="10" xfId="2" applyNumberFormat="1" applyFont="1" applyFill="1" applyBorder="1" applyAlignment="1">
      <alignment horizontal="center" vertical="center" wrapText="1"/>
    </xf>
    <xf numFmtId="166" fontId="8" fillId="2" borderId="10" xfId="1" applyNumberFormat="1" applyFont="1" applyFill="1" applyBorder="1" applyAlignment="1">
      <alignment horizontal="center" vertical="center" wrapText="1"/>
    </xf>
    <xf numFmtId="4" fontId="8" fillId="2" borderId="10" xfId="1" applyNumberFormat="1" applyFont="1" applyFill="1" applyBorder="1" applyAlignment="1">
      <alignment horizontal="center" vertical="center" wrapText="1"/>
    </xf>
    <xf numFmtId="168" fontId="8" fillId="2" borderId="10" xfId="1" applyNumberFormat="1" applyFont="1" applyFill="1" applyBorder="1" applyAlignment="1">
      <alignment horizontal="center" vertical="center" wrapText="1"/>
    </xf>
    <xf numFmtId="170" fontId="8" fillId="2" borderId="10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0" fontId="1" fillId="4" borderId="0" xfId="1" applyFill="1" applyAlignment="1">
      <alignment horizontal="left" vertical="center"/>
    </xf>
    <xf numFmtId="169" fontId="17" fillId="2" borderId="10" xfId="1" applyNumberFormat="1" applyFont="1" applyFill="1" applyBorder="1" applyAlignment="1">
      <alignment horizontal="center" vertical="center" wrapText="1"/>
    </xf>
    <xf numFmtId="0" fontId="3" fillId="2" borderId="0" xfId="1" applyFont="1" applyFill="1"/>
    <xf numFmtId="0" fontId="1" fillId="5" borderId="0" xfId="1" applyFill="1"/>
    <xf numFmtId="0" fontId="14" fillId="2" borderId="10" xfId="1" quotePrefix="1" applyFont="1" applyFill="1" applyBorder="1" applyAlignment="1">
      <alignment vertical="center" wrapText="1"/>
    </xf>
    <xf numFmtId="0" fontId="14" fillId="2" borderId="10" xfId="4" applyFont="1" applyFill="1" applyBorder="1" applyAlignment="1">
      <alignment horizontal="center" vertical="center"/>
    </xf>
    <xf numFmtId="170" fontId="2" fillId="2" borderId="10" xfId="4" applyNumberFormat="1" applyFont="1" applyFill="1" applyBorder="1" applyAlignment="1">
      <alignment horizontal="center" vertical="center"/>
    </xf>
    <xf numFmtId="0" fontId="12" fillId="2" borderId="0" xfId="1" applyFont="1" applyFill="1"/>
    <xf numFmtId="0" fontId="13" fillId="5" borderId="0" xfId="1" applyFont="1" applyFill="1"/>
    <xf numFmtId="0" fontId="16" fillId="2" borderId="10" xfId="1" quotePrefix="1" applyFont="1" applyFill="1" applyBorder="1" applyAlignment="1">
      <alignment vertical="center" wrapText="1"/>
    </xf>
    <xf numFmtId="0" fontId="2" fillId="2" borderId="10" xfId="1" quotePrefix="1" applyFont="1" applyFill="1" applyBorder="1" applyAlignment="1">
      <alignment vertical="center" wrapText="1"/>
    </xf>
    <xf numFmtId="0" fontId="2" fillId="2" borderId="10" xfId="4" applyFont="1" applyFill="1" applyBorder="1" applyAlignment="1">
      <alignment horizontal="center" vertical="center"/>
    </xf>
    <xf numFmtId="0" fontId="8" fillId="2" borderId="10" xfId="1" quotePrefix="1" applyFont="1" applyFill="1" applyBorder="1" applyAlignment="1">
      <alignment vertical="center" wrapText="1"/>
    </xf>
    <xf numFmtId="0" fontId="8" fillId="2" borderId="10" xfId="4" applyFont="1" applyFill="1" applyBorder="1" applyAlignment="1">
      <alignment horizontal="center" vertical="center"/>
    </xf>
    <xf numFmtId="0" fontId="8" fillId="0" borderId="11" xfId="1" quotePrefix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left" vertical="center" wrapText="1"/>
    </xf>
    <xf numFmtId="0" fontId="8" fillId="2" borderId="11" xfId="1" applyFont="1" applyFill="1" applyBorder="1" applyAlignment="1">
      <alignment horizontal="center" vertical="center" wrapText="1"/>
    </xf>
    <xf numFmtId="165" fontId="8" fillId="2" borderId="11" xfId="2" applyNumberFormat="1" applyFont="1" applyFill="1" applyBorder="1" applyAlignment="1">
      <alignment horizontal="center" vertical="center" wrapText="1"/>
    </xf>
    <xf numFmtId="169" fontId="8" fillId="2" borderId="11" xfId="1" applyNumberFormat="1" applyFont="1" applyFill="1" applyBorder="1" applyAlignment="1">
      <alignment horizontal="center" vertical="center" wrapText="1"/>
    </xf>
    <xf numFmtId="169" fontId="8" fillId="2" borderId="11" xfId="4" applyNumberFormat="1" applyFont="1" applyFill="1" applyBorder="1" applyAlignment="1">
      <alignment horizontal="center" vertical="center"/>
    </xf>
    <xf numFmtId="166" fontId="8" fillId="2" borderId="11" xfId="1" applyNumberFormat="1" applyFont="1" applyFill="1" applyBorder="1" applyAlignment="1">
      <alignment horizontal="center" vertical="center" wrapText="1"/>
    </xf>
    <xf numFmtId="4" fontId="8" fillId="2" borderId="11" xfId="1" applyNumberFormat="1" applyFont="1" applyFill="1" applyBorder="1" applyAlignment="1">
      <alignment horizontal="center" vertical="center" wrapText="1"/>
    </xf>
    <xf numFmtId="168" fontId="8" fillId="2" borderId="11" xfId="1" applyNumberFormat="1" applyFont="1" applyFill="1" applyBorder="1" applyAlignment="1">
      <alignment horizontal="center" vertical="center" wrapText="1"/>
    </xf>
    <xf numFmtId="170" fontId="8" fillId="2" borderId="11" xfId="2" applyNumberFormat="1" applyFont="1" applyFill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right" vertical="center" wrapText="1"/>
    </xf>
    <xf numFmtId="0" fontId="18" fillId="6" borderId="0" xfId="1" applyFont="1" applyFill="1" applyAlignment="1">
      <alignment horizontal="left" vertical="center"/>
    </xf>
    <xf numFmtId="0" fontId="1" fillId="0" borderId="0" xfId="1" applyAlignment="1">
      <alignment horizontal="center"/>
    </xf>
    <xf numFmtId="0" fontId="1" fillId="2" borderId="0" xfId="1" applyFill="1"/>
    <xf numFmtId="165" fontId="1" fillId="2" borderId="0" xfId="2" applyNumberFormat="1" applyFont="1" applyFill="1" applyAlignment="1">
      <alignment horizontal="right" wrapText="1"/>
    </xf>
    <xf numFmtId="169" fontId="1" fillId="2" borderId="0" xfId="1" applyNumberFormat="1" applyFill="1" applyAlignment="1">
      <alignment horizontal="center" wrapText="1"/>
    </xf>
    <xf numFmtId="166" fontId="1" fillId="2" borderId="0" xfId="1" applyNumberFormat="1" applyFill="1" applyAlignment="1">
      <alignment horizontal="right" wrapText="1"/>
    </xf>
    <xf numFmtId="4" fontId="1" fillId="2" borderId="0" xfId="1" applyNumberFormat="1" applyFill="1" applyAlignment="1">
      <alignment horizontal="right" wrapText="1"/>
    </xf>
    <xf numFmtId="168" fontId="1" fillId="2" borderId="0" xfId="1" applyNumberFormat="1" applyFill="1" applyAlignment="1">
      <alignment horizontal="right" wrapText="1"/>
    </xf>
    <xf numFmtId="170" fontId="1" fillId="2" borderId="0" xfId="2" applyNumberFormat="1" applyFont="1" applyFill="1" applyAlignment="1">
      <alignment horizontal="right" wrapText="1"/>
    </xf>
    <xf numFmtId="169" fontId="19" fillId="2" borderId="0" xfId="1" applyNumberFormat="1" applyFont="1" applyFill="1"/>
    <xf numFmtId="169" fontId="1" fillId="2" borderId="0" xfId="1" applyNumberFormat="1" applyFill="1" applyAlignment="1">
      <alignment horizontal="center"/>
    </xf>
    <xf numFmtId="166" fontId="1" fillId="2" borderId="0" xfId="1" applyNumberFormat="1" applyFill="1"/>
    <xf numFmtId="4" fontId="1" fillId="2" borderId="0" xfId="1" applyNumberFormat="1" applyFill="1"/>
    <xf numFmtId="168" fontId="1" fillId="2" borderId="0" xfId="1" applyNumberFormat="1" applyFill="1" applyAlignment="1">
      <alignment horizontal="right"/>
    </xf>
    <xf numFmtId="4" fontId="1" fillId="2" borderId="0" xfId="1" applyNumberFormat="1" applyFill="1" applyAlignment="1">
      <alignment horizontal="right"/>
    </xf>
  </cellXfs>
  <cellStyles count="12">
    <cellStyle name="Bình thường 2" xfId="6" xr:uid="{2BE82906-4C54-184A-B05C-298739C92301}"/>
    <cellStyle name="Comma 10" xfId="11" xr:uid="{5957B1F1-3C20-A14A-9B07-439FCB5AD815}"/>
    <cellStyle name="Comma 8" xfId="2" xr:uid="{4A472D98-4CB3-9240-9E96-20FC5E99A344}"/>
    <cellStyle name="Normal" xfId="0" builtinId="0"/>
    <cellStyle name="Normal 2" xfId="1" xr:uid="{87C422D4-F817-0D47-925F-5266590A7321}"/>
    <cellStyle name="Normal 3" xfId="8" xr:uid="{B009E7EF-A111-2B4A-8A3F-F4C57B4891C9}"/>
    <cellStyle name="Normal 3 2 2" xfId="3" xr:uid="{D33499F8-1222-0646-BCEF-E341886FB9F5}"/>
    <cellStyle name="Normal 52" xfId="5" xr:uid="{D1E30DD5-3FDA-CB43-9E05-4A056A3AFC59}"/>
    <cellStyle name="Normal 6" xfId="10" xr:uid="{B6F0B9D2-9F54-9443-8C75-5FD077B4E562}"/>
    <cellStyle name="Normal_DKKH2008" xfId="4" xr:uid="{2A9CFD53-4602-9D44-8EF6-1F6C6AC49D3F}"/>
    <cellStyle name="Normal_Nhucau_2012" xfId="7" xr:uid="{A7272D1C-9D6D-4546-AEA6-1FA2694340CE}"/>
    <cellStyle name="Normal_Nhucau_2012 2" xfId="9" xr:uid="{A31493AE-9791-BA45-8912-8298B00E87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482740</xdr:colOff>
      <xdr:row>0</xdr:row>
      <xdr:rowOff>748393</xdr:rowOff>
    </xdr:from>
    <xdr:to>
      <xdr:col>11</xdr:col>
      <xdr:colOff>151716</xdr:colOff>
      <xdr:row>0</xdr:row>
      <xdr:rowOff>748394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3208B25-6647-D240-BA7C-0E96C594A910}"/>
            </a:ext>
          </a:extLst>
        </xdr:cNvPr>
        <xdr:cNvCxnSpPr/>
      </xdr:nvCxnSpPr>
      <xdr:spPr>
        <a:xfrm flipV="1">
          <a:off x="9347340" y="316593"/>
          <a:ext cx="1421576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eocoi/Documents/BACKUP/MACBOOK/X38/VA&#803;&#770;T%20TU&#795;/BIE&#770;&#777;U%20KE&#770;&#769;%20HOA&#803;CH%20NA&#774;M%202026.xlsx" TargetMode="External"/><Relationship Id="rId1" Type="http://schemas.openxmlformats.org/officeDocument/2006/relationships/externalLinkPath" Target="BIE&#770;&#777;U%20KE&#770;&#769;%20HOA&#803;CH%20NA&#774;M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MGT-DRT/MGT-IMPR/MGT-SC@/BA0397/INSULT'N/INS/ASK/PIPE-03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38 (2)"/>
      <sheetName val="bien che hien co X38"/>
      <sheetName val="PL 1"/>
      <sheetName val="PL 2"/>
      <sheetName val="PL3"/>
      <sheetName val="PL4"/>
      <sheetName val="PL5"/>
      <sheetName val="PL5 (2)"/>
      <sheetName val="PL 6"/>
      <sheetName val="PL 7"/>
      <sheetName val="PL 8"/>
      <sheetName val="PL 10"/>
      <sheetName val="PL5 DƠN GIÁ CHI TIẾT"/>
      <sheetName val="ĐỊNH MỨC SỬA CHỮA"/>
      <sheetName val="BIỂU 5 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XL4Poppy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Sheet4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PIPE-03E"/>
      <sheetName val="Dong Dau"/>
      <sheetName val="Dong Dau (2)"/>
      <sheetName val="Sau dong"/>
      <sheetName val="Ma xa"/>
      <sheetName val="My dinh"/>
      <sheetName val="Tong cong"/>
      <sheetName val="Sheet5"/>
      <sheetName val="Chi tiet - Dv lap"/>
      <sheetName val="TH KHTC"/>
      <sheetName val="000"/>
      <sheetName val="00000000"/>
      <sheetName val="MD"/>
      <sheetName val="ND"/>
      <sheetName val="CONG"/>
      <sheetName val="DGCT"/>
      <sheetName val="Chart2"/>
      <sheetName val="Chart1"/>
      <sheetName val="BC_KKTSCD"/>
      <sheetName val="Chitiet"/>
      <sheetName val="Sheet2 (2)"/>
      <sheetName val="Mau_BC_KKTSCD"/>
      <sheetName val="Phu luc"/>
      <sheetName val="Gia trÞ"/>
      <sheetName val="TH"/>
      <sheetName val="Sheet6"/>
      <sheetName val="Sheet7"/>
      <sheetName val="Sheet8"/>
      <sheetName val="Sheet9"/>
      <sheetName val="Sheet10"/>
      <sheetName val="Sheet11"/>
      <sheetName val="XXXXXXXX"/>
      <sheetName val="Congty"/>
      <sheetName val="VPPN"/>
      <sheetName val="XN74"/>
      <sheetName val="XN54"/>
      <sheetName val="XN33"/>
      <sheetName val="NK96"/>
      <sheetName val="XL4Test5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"/>
      <sheetName val="Gia VL"/>
      <sheetName val="Bang gia ca may"/>
      <sheetName val="Bang luong CB"/>
      <sheetName val="Bang P.tich CT"/>
      <sheetName val="D.toan chi tiet"/>
      <sheetName val="Bang TH Dtoan"/>
      <sheetName val="KH 2003 (moi max)"/>
      <sheetName val="tscd"/>
      <sheetName val="KH12"/>
      <sheetName val="CN12"/>
      <sheetName val="HD12"/>
      <sheetName val="KH1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10000000"/>
      <sheetName val="THCT"/>
      <sheetName val="cap cho cac DT"/>
      <sheetName val="Ung - hoan"/>
      <sheetName val="CP may"/>
      <sheetName val="SS"/>
      <sheetName val="NVL"/>
      <sheetName val="XN79"/>
      <sheetName val="CTMT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116(300)"/>
      <sheetName val="116(200)"/>
      <sheetName val="116(150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cd viaK0-T6"/>
      <sheetName val="cdvia T6-Tc24"/>
      <sheetName val="cdvia Tc24-T46"/>
      <sheetName val="cdbtnL2ko-k0+361"/>
      <sheetName val="cd btnL2k0+361-T19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Thuyet minh"/>
      <sheetName val="CQ-HQ"/>
      <sheetName val="VL"/>
      <sheetName val="CTXD"/>
      <sheetName val=".."/>
      <sheetName val="CTDN"/>
      <sheetName val="san vuon"/>
      <sheetName val="khu phu tro"/>
      <sheetName val="be tong"/>
      <sheetName val="Thep"/>
      <sheetName val="Tong hop thep"/>
      <sheetName val="KM"/>
      <sheetName val="KHOANMUC"/>
      <sheetName val="CPQL"/>
      <sheetName val="SANLUONG"/>
      <sheetName val="SSCP-SL"/>
      <sheetName val="CPSX"/>
      <sheetName val="KQKD"/>
      <sheetName val="CDSL (2)"/>
      <sheetName val="00000001"/>
      <sheetName val="00000002"/>
      <sheetName val="00000003"/>
      <sheetName val="00000004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DT"/>
      <sheetName val="THND"/>
      <sheetName val="THMD"/>
      <sheetName val="Phtro1"/>
      <sheetName val="DTKS1"/>
      <sheetName val="CT1m"/>
      <sheetName val="Thep "/>
      <sheetName val="Chi tiet Khoi luong"/>
      <sheetName val="TH khoi luong"/>
      <sheetName val="Chiet tinh vat lieu "/>
      <sheetName val="TH KL V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CHIT"/>
      <sheetName val="THXH"/>
      <sheetName val="BHXH"/>
      <sheetName val="9"/>
      <sheetName val="10"/>
      <sheetName val="phan tich DG"/>
      <sheetName val="gia vat lieu"/>
      <sheetName val="gia xe may"/>
      <sheetName val="gia nhan cong"/>
      <sheetName val="cong Q2"/>
      <sheetName val="T.U luong Q1"/>
      <sheetName val="T.U luong Q2"/>
      <sheetName val="T.U luong Q3"/>
      <sheetName val="dutoan1"/>
      <sheetName val="Anhtoan"/>
      <sheetName val="dutoan2"/>
      <sheetName val="vat tu"/>
      <sheetName val="Quyet toan"/>
      <sheetName val="Thu hoi"/>
      <sheetName val="Lai vay"/>
      <sheetName val="Tien vay"/>
      <sheetName val="Cong no"/>
      <sheetName val="Cop pha"/>
      <sheetName val="20000000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clvl"/>
      <sheetName val="Chenh lech"/>
      <sheetName val="Kinh phí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sent to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Outlets"/>
      <sheetName val="PGs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PXuat"/>
      <sheetName val="THVT.T5"/>
      <sheetName val="XL1.t5"/>
      <sheetName val="XL2.T5"/>
      <sheetName val="XL3.T5"/>
      <sheetName val="XL5.T5"/>
      <sheetName val="CTTSCD"/>
      <sheetName val="TSCD ko dung"/>
      <sheetName val="Tong vat tu"/>
      <sheetName val="VT luu"/>
      <sheetName val="VTu1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binh do"/>
      <sheetName val="cot lieu"/>
      <sheetName val="van khuon"/>
      <sheetName val="CT BT"/>
      <sheetName val="lay mau"/>
      <sheetName val="mat ngoai goi"/>
      <sheetName val="coc tram-bt"/>
      <sheetName val="bANG THANH TOAN LUONG SC"/>
      <sheetName val="DON GIA TIEN LUONG SXCB"/>
      <sheetName val="bang ke luong sc"/>
      <sheetName val="DICH VU"/>
      <sheetName val="BD LE TET"/>
      <sheetName val="BANG THANH TOAN LUONG TO SO CHE"/>
      <sheetName val="BANG TONG HOP LUONG SP"/>
      <sheetName val="Bang ke tien luong O phong"/>
      <sheetName val="bang ke luong SP"/>
      <sheetName val="tam ung luong ky I"/>
      <sheetName val="bao cao BHXH 6 thang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VAT TU NHAN TXQN"/>
      <sheetName val="bang tong ke khoi luong vat tu"/>
      <sheetName val="hcong tkhe"/>
      <sheetName val="VAT TU NHAN TKHE"/>
      <sheetName val="hcong qn"/>
      <sheetName val="VAT TU NHAN (2)"/>
      <sheetName val="Tong Thu"/>
      <sheetName val="Tong Chi"/>
      <sheetName val="Truong hoc"/>
      <sheetName val="Cty CP"/>
      <sheetName val="G.thau 3B"/>
      <sheetName val="T.Hop Thu-chi"/>
      <sheetName val="TH mau moi tu T10"/>
      <sheetName val="Tong hop Quy IV"/>
      <sheetName val="C45A-BH"/>
      <sheetName val="C46A-BH"/>
      <sheetName val="C47A-BH"/>
      <sheetName val="C48A-BH"/>
      <sheetName val="S-53-1"/>
      <sheetName val="THCCDCXN"/>
      <sheetName val="CC.XL1"/>
      <sheetName val="XL2"/>
      <sheetName val="XL3"/>
      <sheetName val="XL5"/>
      <sheetName val="Cpa"/>
      <sheetName val="khXN"/>
      <sheetName val="KKTS.04"/>
      <sheetName val="nha kct"/>
      <sheetName val="BKVT"/>
      <sheetName val="SILICATE"/>
      <sheetName val="THDT"/>
      <sheetName val="MTO REV.0"/>
      <sheetName val="Tien ung"/>
      <sheetName val="phi luong3"/>
      <sheetName val="T1(T1)04"/>
      <sheetName val="DGXDCB"/>
      <sheetName val="DEM"/>
      <sheetName val="KHOILUONG"/>
      <sheetName val="DONGIA"/>
      <sheetName val="CPKSTK"/>
      <sheetName val="THIETBI"/>
      <sheetName val="TDT"/>
      <sheetName val="VC1"/>
      <sheetName val="VC2"/>
      <sheetName val="VC3"/>
      <sheetName val="VC4"/>
      <sheetName val="VC5"/>
      <sheetName val="BaoCao"/>
      <sheetName val="TT"/>
      <sheetName val="CO SO DU LIEU PTVL"/>
      <sheetName val="CT xa"/>
      <sheetName val="TLGC"/>
      <sheetName val="BL"/>
      <sheetName val="Caodo"/>
      <sheetName val="Dat"/>
      <sheetName val="KL-CTTK"/>
      <sheetName val="BTH"/>
      <sheetName val="00000005"/>
      <sheetName val="00000006"/>
      <sheetName val="DM-Goc"/>
      <sheetName val="Gia-CT"/>
      <sheetName val="PTCP"/>
      <sheetName val="cphoi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tc"/>
      <sheetName val="xl"/>
      <sheetName val="NN"/>
      <sheetName val="Tralaivay"/>
      <sheetName val="TBTN"/>
      <sheetName val="CPTV"/>
      <sheetName val="PCCHAY"/>
      <sheetName val="dtks"/>
      <sheetName val="Phu luc HD"/>
      <sheetName val="Gia du thau"/>
      <sheetName val="PTDG"/>
      <sheetName val="Ca xe"/>
      <sheetName val="Q1-02"/>
      <sheetName val="Q2-02"/>
      <sheetName val="Q3-02"/>
    </sheetNames>
    <definedNames>
      <definedName name="DataFilter"/>
      <definedName name="DataSort"/>
      <definedName name="GoBack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6077-9419-354B-AE30-A4D9D4546A53}">
  <sheetPr>
    <tabColor rgb="FFFF0000"/>
    <pageSetUpPr fitToPage="1"/>
  </sheetPr>
  <dimension ref="A1:AH54"/>
  <sheetViews>
    <sheetView zoomScale="87" zoomScaleNormal="87" workbookViewId="0">
      <pane xSplit="3" ySplit="6" topLeftCell="D18" activePane="bottomRight" state="frozen"/>
      <selection pane="topRight" activeCell="D1" sqref="D1"/>
      <selection pane="bottomLeft" activeCell="A7" sqref="A7"/>
      <selection pane="bottomRight" activeCell="F25" sqref="F25"/>
    </sheetView>
  </sheetViews>
  <sheetFormatPr baseColWidth="10" defaultColWidth="10.1640625" defaultRowHeight="14" outlineLevelCol="1"/>
  <cols>
    <col min="1" max="1" width="4.83203125" style="168" customWidth="1"/>
    <col min="2" max="2" width="37.33203125" style="12" customWidth="1"/>
    <col min="3" max="3" width="8.5" style="169" customWidth="1"/>
    <col min="4" max="4" width="9.5" style="170" customWidth="1"/>
    <col min="5" max="5" width="11" style="169" customWidth="1"/>
    <col min="6" max="6" width="14.1640625" style="177" customWidth="1"/>
    <col min="7" max="7" width="12.6640625" style="177" customWidth="1"/>
    <col min="8" max="9" width="9.1640625" style="178" customWidth="1"/>
    <col min="10" max="10" width="10.6640625" style="179" customWidth="1" outlineLevel="1"/>
    <col min="11" max="11" width="12.33203125" style="180" customWidth="1" outlineLevel="1"/>
    <col min="12" max="12" width="9.5" style="181" customWidth="1" outlineLevel="1"/>
    <col min="13" max="13" width="11.1640625" style="181" customWidth="1" outlineLevel="1"/>
    <col min="14" max="14" width="9.6640625" style="175" customWidth="1"/>
    <col min="15" max="15" width="10.33203125" style="176" customWidth="1"/>
    <col min="16" max="16" width="9.6640625" style="175" customWidth="1"/>
    <col min="17" max="17" width="10.5" style="176" customWidth="1"/>
    <col min="18" max="18" width="9.6640625" style="175" customWidth="1"/>
    <col min="19" max="19" width="10.5" style="176" customWidth="1"/>
    <col min="20" max="20" width="9.6640625" style="175" customWidth="1"/>
    <col min="21" max="21" width="9.6640625" style="176" customWidth="1"/>
    <col min="22" max="22" width="6.1640625" style="169" customWidth="1"/>
    <col min="23" max="23" width="7.1640625" style="169" customWidth="1"/>
    <col min="24" max="24" width="6.83203125" style="169" customWidth="1"/>
    <col min="25" max="25" width="6.83203125" style="12" customWidth="1"/>
    <col min="26" max="26" width="10.1640625" style="12" bestFit="1" customWidth="1"/>
    <col min="27" max="27" width="10.83203125" style="12" bestFit="1" customWidth="1"/>
    <col min="28" max="28" width="10.1640625" style="12" bestFit="1" customWidth="1"/>
    <col min="29" max="29" width="11.6640625" style="12" bestFit="1" customWidth="1"/>
    <col min="30" max="30" width="10.1640625" style="12" bestFit="1" customWidth="1"/>
    <col min="31" max="33" width="10.1640625" style="12"/>
    <col min="34" max="34" width="37.33203125" style="12" customWidth="1"/>
    <col min="35" max="16384" width="10.1640625" style="12"/>
  </cols>
  <sheetData>
    <row r="1" spans="1:34" ht="25" customHeight="1">
      <c r="A1" s="1" t="s">
        <v>0</v>
      </c>
      <c r="B1" s="2"/>
      <c r="C1" s="3"/>
      <c r="D1" s="4"/>
      <c r="E1" s="3"/>
      <c r="F1" s="5"/>
      <c r="G1" s="5"/>
      <c r="H1" s="5"/>
      <c r="I1" s="5"/>
      <c r="J1" s="3"/>
      <c r="K1" s="6"/>
      <c r="L1" s="6"/>
      <c r="M1" s="6"/>
      <c r="N1" s="7"/>
      <c r="O1" s="8"/>
      <c r="P1" s="7"/>
      <c r="Q1" s="8"/>
      <c r="R1" s="7"/>
      <c r="S1" s="8"/>
      <c r="T1" s="7"/>
      <c r="U1" s="8"/>
      <c r="V1" s="3"/>
      <c r="W1" s="3"/>
      <c r="X1" s="3"/>
      <c r="Y1" s="2"/>
      <c r="Z1" s="9">
        <f>G5-AA1</f>
        <v>34.110700000000065</v>
      </c>
      <c r="AA1" s="10">
        <v>939.78399999999999</v>
      </c>
      <c r="AB1" s="11"/>
      <c r="AC1" s="11"/>
      <c r="AD1" s="11"/>
      <c r="AH1" s="12">
        <v>0.69516999999996187</v>
      </c>
    </row>
    <row r="2" spans="1:34" ht="33" customHeight="1">
      <c r="A2" s="13" t="s">
        <v>1</v>
      </c>
      <c r="B2" s="13" t="s">
        <v>2</v>
      </c>
      <c r="C2" s="14" t="s">
        <v>3</v>
      </c>
      <c r="D2" s="15"/>
      <c r="E2" s="14"/>
      <c r="F2" s="16" t="s">
        <v>4</v>
      </c>
      <c r="G2" s="17"/>
      <c r="H2" s="17"/>
      <c r="I2" s="18"/>
      <c r="J2" s="19" t="s">
        <v>5</v>
      </c>
      <c r="K2" s="20"/>
      <c r="L2" s="20"/>
      <c r="M2" s="21"/>
      <c r="N2" s="22" t="s">
        <v>6</v>
      </c>
      <c r="O2" s="23"/>
      <c r="P2" s="22"/>
      <c r="Q2" s="23"/>
      <c r="R2" s="22"/>
      <c r="S2" s="23"/>
      <c r="T2" s="22"/>
      <c r="U2" s="23"/>
      <c r="V2" s="14" t="s">
        <v>7</v>
      </c>
      <c r="W2" s="14"/>
      <c r="X2" s="14"/>
      <c r="Y2" s="13" t="s">
        <v>8</v>
      </c>
      <c r="Z2" s="11"/>
      <c r="AA2" s="9">
        <f>32-Z1</f>
        <v>-2.1107000000000653</v>
      </c>
      <c r="AB2" s="11"/>
      <c r="AC2" s="11"/>
      <c r="AD2" s="11"/>
      <c r="AH2" s="12">
        <v>939.09082999999998</v>
      </c>
    </row>
    <row r="3" spans="1:34" ht="18">
      <c r="A3" s="13"/>
      <c r="B3" s="13"/>
      <c r="C3" s="14" t="s">
        <v>9</v>
      </c>
      <c r="D3" s="15" t="s">
        <v>10</v>
      </c>
      <c r="E3" s="14" t="s">
        <v>11</v>
      </c>
      <c r="F3" s="24"/>
      <c r="G3" s="25"/>
      <c r="H3" s="25"/>
      <c r="I3" s="26"/>
      <c r="J3" s="27"/>
      <c r="K3" s="28"/>
      <c r="L3" s="28"/>
      <c r="M3" s="29"/>
      <c r="N3" s="22" t="s">
        <v>12</v>
      </c>
      <c r="O3" s="23"/>
      <c r="P3" s="22" t="s">
        <v>13</v>
      </c>
      <c r="Q3" s="23"/>
      <c r="R3" s="22" t="s">
        <v>14</v>
      </c>
      <c r="S3" s="23"/>
      <c r="T3" s="22" t="s">
        <v>15</v>
      </c>
      <c r="U3" s="23"/>
      <c r="V3" s="14" t="s">
        <v>16</v>
      </c>
      <c r="W3" s="14" t="s">
        <v>17</v>
      </c>
      <c r="X3" s="14" t="s">
        <v>18</v>
      </c>
      <c r="Y3" s="13"/>
      <c r="Z3" s="11"/>
      <c r="AA3" s="11"/>
      <c r="AB3" s="11"/>
      <c r="AC3" s="11"/>
      <c r="AD3" s="11"/>
      <c r="AH3" s="12">
        <v>939.78599999999994</v>
      </c>
    </row>
    <row r="4" spans="1:34" ht="38">
      <c r="A4" s="13"/>
      <c r="B4" s="13"/>
      <c r="C4" s="14"/>
      <c r="D4" s="15"/>
      <c r="E4" s="14"/>
      <c r="F4" s="30" t="s">
        <v>19</v>
      </c>
      <c r="G4" s="30" t="s">
        <v>20</v>
      </c>
      <c r="H4" s="31" t="s">
        <v>21</v>
      </c>
      <c r="I4" s="31" t="s">
        <v>22</v>
      </c>
      <c r="J4" s="32" t="s">
        <v>23</v>
      </c>
      <c r="K4" s="33" t="s">
        <v>20</v>
      </c>
      <c r="L4" s="32" t="s">
        <v>21</v>
      </c>
      <c r="M4" s="32" t="s">
        <v>22</v>
      </c>
      <c r="N4" s="34" t="s">
        <v>24</v>
      </c>
      <c r="O4" s="35" t="s">
        <v>25</v>
      </c>
      <c r="P4" s="34" t="s">
        <v>24</v>
      </c>
      <c r="Q4" s="35" t="s">
        <v>25</v>
      </c>
      <c r="R4" s="34" t="s">
        <v>24</v>
      </c>
      <c r="S4" s="35" t="s">
        <v>25</v>
      </c>
      <c r="T4" s="34" t="s">
        <v>24</v>
      </c>
      <c r="U4" s="35" t="s">
        <v>25</v>
      </c>
      <c r="V4" s="14"/>
      <c r="W4" s="14"/>
      <c r="X4" s="14"/>
      <c r="Y4" s="13"/>
      <c r="Z4" s="11"/>
      <c r="AA4" s="11"/>
      <c r="AB4" s="11"/>
      <c r="AC4" s="11"/>
      <c r="AD4" s="11"/>
      <c r="AH4" s="12">
        <f>AH3-AH2</f>
        <v>0.69516999999996187</v>
      </c>
    </row>
    <row r="5" spans="1:34" ht="23" customHeight="1">
      <c r="A5" s="36" t="s">
        <v>26</v>
      </c>
      <c r="B5" s="37" t="s">
        <v>27</v>
      </c>
      <c r="C5" s="38"/>
      <c r="D5" s="39">
        <f>D6+D16+D18+D45</f>
        <v>4456</v>
      </c>
      <c r="E5" s="39">
        <f>E6+E16+E18+E45+E48+E50</f>
        <v>4456</v>
      </c>
      <c r="F5" s="40">
        <f>F6+F16+F18+F45+F48+F50</f>
        <v>1533.92067</v>
      </c>
      <c r="G5" s="41">
        <f>G6+G16+G18+G45+G48+G50</f>
        <v>973.89470000000006</v>
      </c>
      <c r="H5" s="42">
        <f>H6+H16+H18+H45+H48+H50</f>
        <v>56.519600000000004</v>
      </c>
      <c r="I5" s="42">
        <f>I6+I16+I18+I45+I48+I50</f>
        <v>503.50637000000006</v>
      </c>
      <c r="J5" s="42"/>
      <c r="K5" s="43"/>
      <c r="L5" s="44"/>
      <c r="M5" s="44"/>
      <c r="N5" s="45">
        <f t="shared" ref="N5:U5" si="0">N6+N16+N18+N45+N48+N50</f>
        <v>1589</v>
      </c>
      <c r="O5" s="41">
        <f t="shared" si="0"/>
        <v>178.53209000000001</v>
      </c>
      <c r="P5" s="45">
        <f t="shared" si="0"/>
        <v>1985</v>
      </c>
      <c r="Q5" s="41">
        <f t="shared" si="0"/>
        <v>446.16163</v>
      </c>
      <c r="R5" s="45">
        <f t="shared" si="0"/>
        <v>723</v>
      </c>
      <c r="S5" s="41">
        <f t="shared" si="0"/>
        <v>292.20632999999998</v>
      </c>
      <c r="T5" s="45">
        <f t="shared" si="0"/>
        <v>858</v>
      </c>
      <c r="U5" s="41">
        <f t="shared" si="0"/>
        <v>55.49465</v>
      </c>
      <c r="V5" s="38"/>
      <c r="W5" s="38"/>
      <c r="X5" s="38"/>
      <c r="Y5" s="46"/>
      <c r="Z5" s="11"/>
      <c r="AA5" s="11"/>
      <c r="AB5" s="11"/>
      <c r="AC5" s="11"/>
      <c r="AD5" s="11"/>
    </row>
    <row r="6" spans="1:34" s="59" customFormat="1" ht="38.5" customHeight="1">
      <c r="A6" s="47">
        <v>1</v>
      </c>
      <c r="B6" s="48" t="s">
        <v>28</v>
      </c>
      <c r="C6" s="49"/>
      <c r="D6" s="50">
        <f>D7+D8+D9+D10+D11+D12+D13+D14</f>
        <v>2890</v>
      </c>
      <c r="E6" s="50">
        <f>E7+E8+E9+E10+E11+E12+E13+E14</f>
        <v>2890</v>
      </c>
      <c r="F6" s="51">
        <f>SUM(F7:F15)</f>
        <v>892.25767000000008</v>
      </c>
      <c r="G6" s="51">
        <f>SUM(G7:G15)</f>
        <v>332.23170000000005</v>
      </c>
      <c r="H6" s="52">
        <f>SUM(H7:H15)</f>
        <v>56.519600000000004</v>
      </c>
      <c r="I6" s="52">
        <f>SUM(I7:I15)</f>
        <v>503.50637000000006</v>
      </c>
      <c r="J6" s="53"/>
      <c r="K6" s="54"/>
      <c r="L6" s="53"/>
      <c r="M6" s="53"/>
      <c r="N6" s="55">
        <f t="shared" ref="N6:U6" si="1">SUM(N7:N15)</f>
        <v>1586</v>
      </c>
      <c r="O6" s="51">
        <f t="shared" si="1"/>
        <v>92.19359</v>
      </c>
      <c r="P6" s="55">
        <f t="shared" si="1"/>
        <v>1978</v>
      </c>
      <c r="Q6" s="51">
        <f t="shared" si="1"/>
        <v>133.70312999999999</v>
      </c>
      <c r="R6" s="55">
        <f t="shared" si="1"/>
        <v>722</v>
      </c>
      <c r="S6" s="51">
        <f t="shared" si="1"/>
        <v>51.044830000000005</v>
      </c>
      <c r="T6" s="55">
        <f t="shared" si="1"/>
        <v>857</v>
      </c>
      <c r="U6" s="51">
        <f t="shared" si="1"/>
        <v>55.290149999999997</v>
      </c>
      <c r="V6" s="56" t="s">
        <v>29</v>
      </c>
      <c r="W6" s="56" t="s">
        <v>30</v>
      </c>
      <c r="X6" s="56" t="s">
        <v>31</v>
      </c>
      <c r="Y6" s="57"/>
      <c r="Z6" s="58">
        <f>SUM(D6:F6)</f>
        <v>6672.25767</v>
      </c>
      <c r="AA6" s="58">
        <f>F6/E6</f>
        <v>0.30873967820069209</v>
      </c>
      <c r="AB6" s="58" t="s">
        <v>32</v>
      </c>
      <c r="AC6" s="58"/>
      <c r="AD6" s="58">
        <v>1</v>
      </c>
    </row>
    <row r="7" spans="1:34" s="75" customFormat="1" ht="28.25" customHeight="1">
      <c r="A7" s="47" t="s">
        <v>33</v>
      </c>
      <c r="B7" s="60" t="s">
        <v>34</v>
      </c>
      <c r="C7" s="61" t="s">
        <v>35</v>
      </c>
      <c r="D7" s="62">
        <v>9</v>
      </c>
      <c r="E7" s="63">
        <f t="shared" ref="E7:E15" si="2">D7</f>
        <v>9</v>
      </c>
      <c r="F7" s="64">
        <f t="shared" ref="F7:F15" si="3">E7*SUM(K7:M7)/1000</f>
        <v>59.72319000000001</v>
      </c>
      <c r="G7" s="64">
        <f t="shared" ref="G7:I15" si="4">$E7*K7/1000</f>
        <v>13.457699999999999</v>
      </c>
      <c r="H7" s="65">
        <f t="shared" si="4"/>
        <v>36.903510000000004</v>
      </c>
      <c r="I7" s="65">
        <f t="shared" si="4"/>
        <v>9.3619799999999991</v>
      </c>
      <c r="J7" s="66">
        <f t="shared" ref="J7:J15" si="5">SUM(K7:M7)</f>
        <v>6635.9100000000008</v>
      </c>
      <c r="K7" s="67">
        <v>1495.3</v>
      </c>
      <c r="L7" s="66">
        <v>4100.3900000000003</v>
      </c>
      <c r="M7" s="66">
        <v>1040.22</v>
      </c>
      <c r="N7" s="68"/>
      <c r="O7" s="69">
        <f t="shared" ref="O7:O15" si="6">N7*$K7/1000</f>
        <v>0</v>
      </c>
      <c r="P7" s="68">
        <v>6</v>
      </c>
      <c r="Q7" s="69">
        <f t="shared" ref="Q7:Q15" si="7">P7*$K7/1000</f>
        <v>8.9718</v>
      </c>
      <c r="R7" s="68">
        <v>1</v>
      </c>
      <c r="S7" s="69">
        <f t="shared" ref="S7:S15" si="8">R7*$K7/1000</f>
        <v>1.4952999999999999</v>
      </c>
      <c r="T7" s="68">
        <v>2</v>
      </c>
      <c r="U7" s="69">
        <f t="shared" ref="U7:U15" si="9">T7*$K7/1000</f>
        <v>2.9905999999999997</v>
      </c>
      <c r="V7" s="70" t="s">
        <v>36</v>
      </c>
      <c r="W7" s="70" t="s">
        <v>36</v>
      </c>
      <c r="X7" s="70" t="s">
        <v>36</v>
      </c>
      <c r="Y7" s="71"/>
      <c r="Z7" s="72">
        <f>SUM(D7:F7)</f>
        <v>77.723190000000017</v>
      </c>
      <c r="AA7" s="73">
        <f>F7/E7</f>
        <v>6.6359100000000009</v>
      </c>
      <c r="AB7" s="74">
        <f>Z7+Z8</f>
        <v>102.81219000000002</v>
      </c>
      <c r="AC7" s="73">
        <f t="shared" ref="AC7:AC33" si="10">F7/E7</f>
        <v>6.6359100000000009</v>
      </c>
      <c r="AD7" s="73"/>
    </row>
    <row r="8" spans="1:34" s="75" customFormat="1" ht="28.25" customHeight="1">
      <c r="A8" s="47" t="s">
        <v>33</v>
      </c>
      <c r="B8" s="60" t="s">
        <v>37</v>
      </c>
      <c r="C8" s="61" t="s">
        <v>35</v>
      </c>
      <c r="D8" s="62">
        <v>5</v>
      </c>
      <c r="E8" s="63">
        <f t="shared" si="2"/>
        <v>5</v>
      </c>
      <c r="F8" s="64">
        <f t="shared" si="3"/>
        <v>15.089</v>
      </c>
      <c r="G8" s="64">
        <f t="shared" si="4"/>
        <v>5.4083500000000004</v>
      </c>
      <c r="H8" s="65">
        <f t="shared" si="4"/>
        <v>5.9531500000000008</v>
      </c>
      <c r="I8" s="65">
        <f t="shared" si="4"/>
        <v>3.7275</v>
      </c>
      <c r="J8" s="66">
        <f t="shared" si="5"/>
        <v>3017.8</v>
      </c>
      <c r="K8" s="67">
        <v>1081.67</v>
      </c>
      <c r="L8" s="66">
        <v>1190.6300000000001</v>
      </c>
      <c r="M8" s="66">
        <v>745.5</v>
      </c>
      <c r="N8" s="68">
        <v>1</v>
      </c>
      <c r="O8" s="69">
        <f t="shared" si="6"/>
        <v>1.0816700000000001</v>
      </c>
      <c r="P8" s="68">
        <v>3</v>
      </c>
      <c r="Q8" s="69">
        <f t="shared" si="7"/>
        <v>3.2450100000000002</v>
      </c>
      <c r="R8" s="68">
        <v>1</v>
      </c>
      <c r="S8" s="69">
        <f t="shared" si="8"/>
        <v>1.0816700000000001</v>
      </c>
      <c r="T8" s="68"/>
      <c r="U8" s="69">
        <f t="shared" si="9"/>
        <v>0</v>
      </c>
      <c r="V8" s="70" t="s">
        <v>36</v>
      </c>
      <c r="W8" s="70" t="s">
        <v>36</v>
      </c>
      <c r="X8" s="70" t="s">
        <v>36</v>
      </c>
      <c r="Y8" s="71"/>
      <c r="Z8" s="72">
        <f>SUM(D8:F8)</f>
        <v>25.088999999999999</v>
      </c>
      <c r="AA8" s="73">
        <f>F8/E8</f>
        <v>3.0178000000000003</v>
      </c>
      <c r="AB8" s="76"/>
      <c r="AC8" s="73">
        <f t="shared" si="10"/>
        <v>3.0178000000000003</v>
      </c>
      <c r="AD8" s="73"/>
    </row>
    <row r="9" spans="1:34" s="78" customFormat="1" ht="28.25" customHeight="1">
      <c r="A9" s="47" t="s">
        <v>33</v>
      </c>
      <c r="B9" s="60" t="s">
        <v>38</v>
      </c>
      <c r="C9" s="61" t="s">
        <v>35</v>
      </c>
      <c r="D9" s="62">
        <v>12</v>
      </c>
      <c r="E9" s="63">
        <f t="shared" si="2"/>
        <v>12</v>
      </c>
      <c r="F9" s="64">
        <f t="shared" si="3"/>
        <v>29.035319999999995</v>
      </c>
      <c r="G9" s="64">
        <f t="shared" si="4"/>
        <v>9.1156800000000011</v>
      </c>
      <c r="H9" s="65">
        <f t="shared" si="4"/>
        <v>5.2015199999999995</v>
      </c>
      <c r="I9" s="65">
        <f t="shared" si="4"/>
        <v>14.718119999999999</v>
      </c>
      <c r="J9" s="66">
        <f t="shared" si="5"/>
        <v>2419.6099999999997</v>
      </c>
      <c r="K9" s="67">
        <v>759.64</v>
      </c>
      <c r="L9" s="66">
        <v>433.46</v>
      </c>
      <c r="M9" s="66">
        <v>1226.51</v>
      </c>
      <c r="N9" s="68">
        <v>2</v>
      </c>
      <c r="O9" s="69">
        <f t="shared" si="6"/>
        <v>1.51928</v>
      </c>
      <c r="P9" s="68">
        <v>7</v>
      </c>
      <c r="Q9" s="69">
        <f t="shared" si="7"/>
        <v>5.3174799999999998</v>
      </c>
      <c r="R9" s="68">
        <v>2</v>
      </c>
      <c r="S9" s="69">
        <f t="shared" si="8"/>
        <v>1.51928</v>
      </c>
      <c r="T9" s="68">
        <v>1</v>
      </c>
      <c r="U9" s="69">
        <f t="shared" si="9"/>
        <v>0.75963999999999998</v>
      </c>
      <c r="V9" s="70" t="s">
        <v>36</v>
      </c>
      <c r="W9" s="70" t="s">
        <v>36</v>
      </c>
      <c r="X9" s="70" t="s">
        <v>36</v>
      </c>
      <c r="Y9" s="71"/>
      <c r="Z9" s="77">
        <f>SUM(D9:F9)</f>
        <v>53.035319999999999</v>
      </c>
      <c r="AA9" s="77">
        <f>F9/E9</f>
        <v>2.4196099999999996</v>
      </c>
      <c r="AB9" s="77" t="s">
        <v>39</v>
      </c>
      <c r="AC9" s="77">
        <f t="shared" si="10"/>
        <v>2.4196099999999996</v>
      </c>
      <c r="AD9" s="77"/>
    </row>
    <row r="10" spans="1:34" s="81" customFormat="1" ht="28.25" customHeight="1">
      <c r="A10" s="47" t="s">
        <v>33</v>
      </c>
      <c r="B10" s="79" t="s">
        <v>40</v>
      </c>
      <c r="C10" s="61" t="s">
        <v>35</v>
      </c>
      <c r="D10" s="80">
        <v>20</v>
      </c>
      <c r="E10" s="63">
        <f t="shared" si="2"/>
        <v>20</v>
      </c>
      <c r="F10" s="64">
        <f t="shared" si="3"/>
        <v>11.913000000000002</v>
      </c>
      <c r="G10" s="64">
        <f t="shared" si="4"/>
        <v>6.4294000000000002</v>
      </c>
      <c r="H10" s="65">
        <f t="shared" si="4"/>
        <v>0.12019999999999999</v>
      </c>
      <c r="I10" s="65">
        <f t="shared" si="4"/>
        <v>5.3634000000000004</v>
      </c>
      <c r="J10" s="66">
        <f t="shared" si="5"/>
        <v>595.65000000000009</v>
      </c>
      <c r="K10" s="67">
        <v>321.47000000000003</v>
      </c>
      <c r="L10" s="66">
        <v>6.01</v>
      </c>
      <c r="M10" s="66">
        <v>268.17</v>
      </c>
      <c r="N10" s="68">
        <v>6</v>
      </c>
      <c r="O10" s="69">
        <f t="shared" si="6"/>
        <v>1.9288200000000002</v>
      </c>
      <c r="P10" s="68">
        <v>5</v>
      </c>
      <c r="Q10" s="69">
        <f t="shared" si="7"/>
        <v>1.6073500000000001</v>
      </c>
      <c r="R10" s="68">
        <v>7</v>
      </c>
      <c r="S10" s="69">
        <f t="shared" si="8"/>
        <v>2.2502900000000001</v>
      </c>
      <c r="T10" s="68">
        <v>2</v>
      </c>
      <c r="U10" s="69">
        <f t="shared" si="9"/>
        <v>0.64294000000000007</v>
      </c>
      <c r="V10" s="70" t="s">
        <v>36</v>
      </c>
      <c r="W10" s="70" t="s">
        <v>36</v>
      </c>
      <c r="X10" s="70" t="s">
        <v>36</v>
      </c>
      <c r="Y10" s="71"/>
      <c r="Z10" s="58"/>
      <c r="AA10" s="58"/>
      <c r="AB10" s="58"/>
      <c r="AC10" s="58">
        <f t="shared" si="10"/>
        <v>0.59565000000000012</v>
      </c>
      <c r="AD10" s="58"/>
    </row>
    <row r="11" spans="1:34" s="75" customFormat="1" ht="28.25" customHeight="1">
      <c r="A11" s="47" t="s">
        <v>33</v>
      </c>
      <c r="B11" s="79" t="s">
        <v>41</v>
      </c>
      <c r="C11" s="61" t="s">
        <v>35</v>
      </c>
      <c r="D11" s="80">
        <v>58</v>
      </c>
      <c r="E11" s="63">
        <f t="shared" si="2"/>
        <v>58</v>
      </c>
      <c r="F11" s="64">
        <f t="shared" si="3"/>
        <v>33.424239999999998</v>
      </c>
      <c r="G11" s="64">
        <f t="shared" si="4"/>
        <v>19.311679999999999</v>
      </c>
      <c r="H11" s="65">
        <f t="shared" si="4"/>
        <v>0.22968</v>
      </c>
      <c r="I11" s="65">
        <f t="shared" si="4"/>
        <v>13.882880000000002</v>
      </c>
      <c r="J11" s="66">
        <f t="shared" si="5"/>
        <v>576.28</v>
      </c>
      <c r="K11" s="67">
        <v>332.96</v>
      </c>
      <c r="L11" s="66">
        <v>3.96</v>
      </c>
      <c r="M11" s="66">
        <v>239.36</v>
      </c>
      <c r="N11" s="68">
        <v>4</v>
      </c>
      <c r="O11" s="69">
        <f t="shared" si="6"/>
        <v>1.3318399999999999</v>
      </c>
      <c r="P11" s="68">
        <v>19</v>
      </c>
      <c r="Q11" s="69">
        <f t="shared" si="7"/>
        <v>6.3262399999999994</v>
      </c>
      <c r="R11" s="68">
        <v>14</v>
      </c>
      <c r="S11" s="69">
        <f t="shared" si="8"/>
        <v>4.6614399999999998</v>
      </c>
      <c r="T11" s="68">
        <v>21</v>
      </c>
      <c r="U11" s="69">
        <f t="shared" si="9"/>
        <v>6.9921600000000002</v>
      </c>
      <c r="V11" s="70" t="s">
        <v>36</v>
      </c>
      <c r="W11" s="70" t="s">
        <v>36</v>
      </c>
      <c r="X11" s="70" t="s">
        <v>36</v>
      </c>
      <c r="Y11" s="71"/>
      <c r="Z11" s="73"/>
      <c r="AA11" s="73"/>
      <c r="AB11" s="73"/>
      <c r="AC11" s="73">
        <f t="shared" si="10"/>
        <v>0.5762799999999999</v>
      </c>
      <c r="AD11" s="73"/>
    </row>
    <row r="12" spans="1:34" s="75" customFormat="1" ht="28.25" customHeight="1">
      <c r="A12" s="47" t="s">
        <v>33</v>
      </c>
      <c r="B12" s="60" t="s">
        <v>42</v>
      </c>
      <c r="C12" s="61" t="s">
        <v>35</v>
      </c>
      <c r="D12" s="80">
        <v>33</v>
      </c>
      <c r="E12" s="63">
        <f t="shared" si="2"/>
        <v>33</v>
      </c>
      <c r="F12" s="64">
        <f t="shared" si="3"/>
        <v>26.538930000000001</v>
      </c>
      <c r="G12" s="64">
        <f t="shared" si="4"/>
        <v>11.526899999999999</v>
      </c>
      <c r="H12" s="65">
        <f t="shared" si="4"/>
        <v>0.48344999999999999</v>
      </c>
      <c r="I12" s="65">
        <f t="shared" si="4"/>
        <v>14.52858</v>
      </c>
      <c r="J12" s="66">
        <f t="shared" si="5"/>
        <v>804.21</v>
      </c>
      <c r="K12" s="82">
        <v>349.3</v>
      </c>
      <c r="L12" s="83">
        <v>14.65</v>
      </c>
      <c r="M12" s="83">
        <v>440.26</v>
      </c>
      <c r="N12" s="68">
        <v>6</v>
      </c>
      <c r="O12" s="69">
        <f t="shared" si="6"/>
        <v>2.0958000000000001</v>
      </c>
      <c r="P12" s="68">
        <v>13</v>
      </c>
      <c r="Q12" s="69">
        <f t="shared" si="7"/>
        <v>4.5409000000000006</v>
      </c>
      <c r="R12" s="68">
        <v>12</v>
      </c>
      <c r="S12" s="69">
        <f t="shared" si="8"/>
        <v>4.1916000000000002</v>
      </c>
      <c r="T12" s="68">
        <v>2</v>
      </c>
      <c r="U12" s="69">
        <f t="shared" si="9"/>
        <v>0.6986</v>
      </c>
      <c r="V12" s="70" t="s">
        <v>36</v>
      </c>
      <c r="W12" s="70" t="s">
        <v>36</v>
      </c>
      <c r="X12" s="70" t="s">
        <v>36</v>
      </c>
      <c r="Y12" s="71"/>
      <c r="Z12" s="73"/>
      <c r="AA12" s="73"/>
      <c r="AB12" s="73"/>
      <c r="AC12" s="73">
        <f t="shared" si="10"/>
        <v>0.80420999999999998</v>
      </c>
      <c r="AD12" s="73"/>
    </row>
    <row r="13" spans="1:34" s="75" customFormat="1" ht="28.25" customHeight="1">
      <c r="A13" s="47" t="s">
        <v>33</v>
      </c>
      <c r="B13" s="60" t="s">
        <v>43</v>
      </c>
      <c r="C13" s="61" t="s">
        <v>35</v>
      </c>
      <c r="D13" s="80">
        <v>2470</v>
      </c>
      <c r="E13" s="63">
        <f t="shared" si="2"/>
        <v>2470</v>
      </c>
      <c r="F13" s="64">
        <f t="shared" si="3"/>
        <v>343.99690000000004</v>
      </c>
      <c r="G13" s="64">
        <f t="shared" si="4"/>
        <v>112.85429999999999</v>
      </c>
      <c r="H13" s="65">
        <f t="shared" si="4"/>
        <v>5.5327999999999999</v>
      </c>
      <c r="I13" s="65">
        <f t="shared" si="4"/>
        <v>225.60980000000001</v>
      </c>
      <c r="J13" s="66">
        <f t="shared" si="5"/>
        <v>139.27000000000001</v>
      </c>
      <c r="K13" s="82">
        <v>45.69</v>
      </c>
      <c r="L13" s="83">
        <v>2.2400000000000002</v>
      </c>
      <c r="M13" s="83">
        <v>91.34</v>
      </c>
      <c r="N13" s="68">
        <f>543+83+79+60</f>
        <v>765</v>
      </c>
      <c r="O13" s="69">
        <f t="shared" si="6"/>
        <v>34.952849999999998</v>
      </c>
      <c r="P13" s="68">
        <f>25+5+293+367+2+30+232</f>
        <v>954</v>
      </c>
      <c r="Q13" s="69">
        <f t="shared" si="7"/>
        <v>43.588259999999998</v>
      </c>
      <c r="R13" s="68">
        <f>5+54+11+104+150</f>
        <v>324</v>
      </c>
      <c r="S13" s="69">
        <f t="shared" si="8"/>
        <v>14.803559999999999</v>
      </c>
      <c r="T13" s="68">
        <f>126+50+251</f>
        <v>427</v>
      </c>
      <c r="U13" s="69">
        <f t="shared" si="9"/>
        <v>19.509629999999998</v>
      </c>
      <c r="V13" s="70" t="s">
        <v>36</v>
      </c>
      <c r="W13" s="70" t="s">
        <v>36</v>
      </c>
      <c r="X13" s="70" t="s">
        <v>36</v>
      </c>
      <c r="Y13" s="71"/>
      <c r="Z13" s="73"/>
      <c r="AA13" s="73"/>
      <c r="AB13" s="73"/>
      <c r="AC13" s="73">
        <f t="shared" si="10"/>
        <v>0.13927</v>
      </c>
      <c r="AD13" s="73"/>
    </row>
    <row r="14" spans="1:34" s="75" customFormat="1" ht="28.25" customHeight="1">
      <c r="A14" s="47" t="s">
        <v>33</v>
      </c>
      <c r="B14" s="60" t="s">
        <v>44</v>
      </c>
      <c r="C14" s="84" t="s">
        <v>45</v>
      </c>
      <c r="D14" s="80">
        <v>283</v>
      </c>
      <c r="E14" s="63">
        <f t="shared" si="2"/>
        <v>283</v>
      </c>
      <c r="F14" s="64">
        <f t="shared" si="3"/>
        <v>11.741670000000001</v>
      </c>
      <c r="G14" s="64">
        <f t="shared" si="4"/>
        <v>9.8455700000000004</v>
      </c>
      <c r="H14" s="65">
        <f t="shared" si="4"/>
        <v>0</v>
      </c>
      <c r="I14" s="65">
        <f t="shared" si="4"/>
        <v>1.8961000000000001</v>
      </c>
      <c r="J14" s="66">
        <f t="shared" si="5"/>
        <v>41.49</v>
      </c>
      <c r="K14" s="82">
        <v>34.79</v>
      </c>
      <c r="L14" s="83">
        <v>0</v>
      </c>
      <c r="M14" s="83">
        <v>6.7</v>
      </c>
      <c r="N14" s="68">
        <v>71</v>
      </c>
      <c r="O14" s="69">
        <f>N14*$K14/1000</f>
        <v>2.4700900000000003</v>
      </c>
      <c r="P14" s="68">
        <v>71</v>
      </c>
      <c r="Q14" s="69">
        <f t="shared" si="7"/>
        <v>2.4700900000000003</v>
      </c>
      <c r="R14" s="68">
        <v>71</v>
      </c>
      <c r="S14" s="69">
        <f t="shared" si="8"/>
        <v>2.4700900000000003</v>
      </c>
      <c r="T14" s="68">
        <v>70</v>
      </c>
      <c r="U14" s="69">
        <f t="shared" si="9"/>
        <v>2.4352999999999998</v>
      </c>
      <c r="V14" s="70" t="s">
        <v>36</v>
      </c>
      <c r="W14" s="70" t="s">
        <v>36</v>
      </c>
      <c r="X14" s="70" t="s">
        <v>36</v>
      </c>
      <c r="Y14" s="71"/>
      <c r="Z14" s="73"/>
      <c r="AA14" s="73"/>
      <c r="AB14" s="73"/>
      <c r="AC14" s="73">
        <f t="shared" si="10"/>
        <v>4.1490000000000006E-2</v>
      </c>
      <c r="AD14" s="73"/>
    </row>
    <row r="15" spans="1:34" s="75" customFormat="1" ht="28.25" customHeight="1">
      <c r="A15" s="47" t="s">
        <v>33</v>
      </c>
      <c r="B15" s="85" t="s">
        <v>46</v>
      </c>
      <c r="C15" s="84" t="s">
        <v>35</v>
      </c>
      <c r="D15" s="86">
        <v>2253</v>
      </c>
      <c r="E15" s="63">
        <f t="shared" si="2"/>
        <v>2253</v>
      </c>
      <c r="F15" s="64">
        <f t="shared" si="3"/>
        <v>360.79542000000004</v>
      </c>
      <c r="G15" s="64">
        <f t="shared" si="4"/>
        <v>144.28212000000002</v>
      </c>
      <c r="H15" s="65">
        <f t="shared" si="4"/>
        <v>2.0952899999999999</v>
      </c>
      <c r="I15" s="65">
        <f t="shared" si="4"/>
        <v>214.41801000000001</v>
      </c>
      <c r="J15" s="66">
        <f t="shared" si="5"/>
        <v>160.14000000000001</v>
      </c>
      <c r="K15" s="82">
        <v>64.040000000000006</v>
      </c>
      <c r="L15" s="83">
        <v>0.93</v>
      </c>
      <c r="M15" s="83">
        <v>95.17</v>
      </c>
      <c r="N15" s="68">
        <v>731</v>
      </c>
      <c r="O15" s="69">
        <f t="shared" si="6"/>
        <v>46.813240000000008</v>
      </c>
      <c r="P15" s="68">
        <v>900</v>
      </c>
      <c r="Q15" s="69">
        <f t="shared" si="7"/>
        <v>57.63600000000001</v>
      </c>
      <c r="R15" s="68">
        <v>290</v>
      </c>
      <c r="S15" s="69">
        <f t="shared" si="8"/>
        <v>18.571600000000004</v>
      </c>
      <c r="T15" s="68">
        <f>D15-N15-P15-R15</f>
        <v>332</v>
      </c>
      <c r="U15" s="69">
        <f t="shared" si="9"/>
        <v>21.261280000000003</v>
      </c>
      <c r="V15" s="70" t="s">
        <v>36</v>
      </c>
      <c r="W15" s="70" t="s">
        <v>36</v>
      </c>
      <c r="X15" s="70" t="s">
        <v>36</v>
      </c>
      <c r="Y15" s="71"/>
      <c r="Z15" s="73"/>
      <c r="AA15" s="73"/>
      <c r="AB15" s="73"/>
      <c r="AC15" s="73">
        <f t="shared" si="10"/>
        <v>0.16014</v>
      </c>
      <c r="AD15" s="73"/>
    </row>
    <row r="16" spans="1:34" s="96" customFormat="1" ht="33" customHeight="1">
      <c r="A16" s="47">
        <v>2</v>
      </c>
      <c r="B16" s="48" t="s">
        <v>47</v>
      </c>
      <c r="C16" s="49"/>
      <c r="D16" s="50">
        <v>5</v>
      </c>
      <c r="E16" s="87">
        <v>5</v>
      </c>
      <c r="F16" s="88">
        <f>F17</f>
        <v>16</v>
      </c>
      <c r="G16" s="88">
        <f>F16</f>
        <v>16</v>
      </c>
      <c r="H16" s="89"/>
      <c r="I16" s="89"/>
      <c r="J16" s="90"/>
      <c r="K16" s="91"/>
      <c r="L16" s="90"/>
      <c r="M16" s="90"/>
      <c r="N16" s="55"/>
      <c r="O16" s="51"/>
      <c r="P16" s="55">
        <f>P17</f>
        <v>5</v>
      </c>
      <c r="Q16" s="92">
        <f>Q17</f>
        <v>16</v>
      </c>
      <c r="R16" s="55"/>
      <c r="S16" s="69">
        <f>R16*AC16</f>
        <v>0</v>
      </c>
      <c r="T16" s="55"/>
      <c r="U16" s="93">
        <f>U17</f>
        <v>0</v>
      </c>
      <c r="V16" s="56" t="s">
        <v>48</v>
      </c>
      <c r="W16" s="56" t="s">
        <v>30</v>
      </c>
      <c r="X16" s="56" t="s">
        <v>31</v>
      </c>
      <c r="Y16" s="94"/>
      <c r="Z16" s="95"/>
      <c r="AA16" s="95"/>
      <c r="AB16" s="95"/>
      <c r="AC16" s="95">
        <f t="shared" si="10"/>
        <v>3.2</v>
      </c>
      <c r="AD16" s="95"/>
    </row>
    <row r="17" spans="1:30" s="103" customFormat="1" ht="21" customHeight="1">
      <c r="A17" s="97" t="s">
        <v>33</v>
      </c>
      <c r="B17" s="85" t="s">
        <v>49</v>
      </c>
      <c r="C17" s="84" t="s">
        <v>45</v>
      </c>
      <c r="D17" s="86">
        <v>5</v>
      </c>
      <c r="E17" s="98">
        <v>5</v>
      </c>
      <c r="F17" s="99">
        <f>SUM(G17:I17)</f>
        <v>16</v>
      </c>
      <c r="G17" s="99">
        <f>E17*K17/1000</f>
        <v>16</v>
      </c>
      <c r="H17" s="100"/>
      <c r="I17" s="100"/>
      <c r="J17" s="101"/>
      <c r="K17" s="82">
        <v>3200</v>
      </c>
      <c r="L17" s="101"/>
      <c r="M17" s="101"/>
      <c r="N17" s="68"/>
      <c r="O17" s="69"/>
      <c r="P17" s="68">
        <v>5</v>
      </c>
      <c r="Q17" s="69">
        <f>P17*AC17</f>
        <v>16</v>
      </c>
      <c r="R17" s="68"/>
      <c r="S17" s="69">
        <f>R17*AC17</f>
        <v>0</v>
      </c>
      <c r="T17" s="68"/>
      <c r="U17" s="102">
        <f>T17*AC17</f>
        <v>0</v>
      </c>
      <c r="V17" s="70" t="s">
        <v>36</v>
      </c>
      <c r="W17" s="70" t="s">
        <v>36</v>
      </c>
      <c r="X17" s="70" t="s">
        <v>36</v>
      </c>
      <c r="Y17" s="71"/>
      <c r="Z17" s="73">
        <f>SUM(D17:F17)</f>
        <v>26</v>
      </c>
      <c r="AA17" s="73">
        <f>F17/E17</f>
        <v>3.2</v>
      </c>
      <c r="AB17" s="73" t="s">
        <v>50</v>
      </c>
      <c r="AC17" s="73">
        <f t="shared" si="10"/>
        <v>3.2</v>
      </c>
      <c r="AD17" s="73"/>
    </row>
    <row r="18" spans="1:30" s="110" customFormat="1" ht="54.75" customHeight="1">
      <c r="A18" s="47">
        <v>3</v>
      </c>
      <c r="B18" s="104" t="s">
        <v>51</v>
      </c>
      <c r="C18" s="49"/>
      <c r="D18" s="50">
        <f>SUM(D19,D33,D42)</f>
        <v>1560</v>
      </c>
      <c r="E18" s="105">
        <f>D18</f>
        <v>1560</v>
      </c>
      <c r="F18" s="93">
        <f>SUM(F19,F33,F42)</f>
        <v>534.601</v>
      </c>
      <c r="G18" s="93">
        <f>SUM(G19,G33,G42)</f>
        <v>534.601</v>
      </c>
      <c r="H18" s="106"/>
      <c r="I18" s="106"/>
      <c r="J18" s="107"/>
      <c r="K18" s="108"/>
      <c r="L18" s="107"/>
      <c r="M18" s="107"/>
      <c r="N18" s="109"/>
      <c r="O18" s="93">
        <f>SUM(O19,O33,O42)</f>
        <v>35.89</v>
      </c>
      <c r="P18" s="109"/>
      <c r="Q18" s="93">
        <f>SUM(Q19,Q33,Q42)</f>
        <v>256.25400000000002</v>
      </c>
      <c r="R18" s="109"/>
      <c r="S18" s="93">
        <f>SUM(S19,S33,S42)</f>
        <v>240.95699999999999</v>
      </c>
      <c r="T18" s="109"/>
      <c r="U18" s="93">
        <f>SUM(U19,U33,U42)</f>
        <v>0</v>
      </c>
      <c r="V18" s="56" t="s">
        <v>48</v>
      </c>
      <c r="W18" s="56" t="s">
        <v>30</v>
      </c>
      <c r="X18" s="56" t="s">
        <v>31</v>
      </c>
      <c r="Y18" s="94"/>
      <c r="Z18" s="73">
        <f>SUM(D18:F18)</f>
        <v>3654.6010000000001</v>
      </c>
      <c r="AA18" s="73">
        <f>F18/E18</f>
        <v>0.3426929487179487</v>
      </c>
      <c r="AB18" s="73">
        <v>541</v>
      </c>
      <c r="AC18" s="73">
        <f>F18/E18</f>
        <v>0.3426929487179487</v>
      </c>
      <c r="AD18" s="73">
        <v>1</v>
      </c>
    </row>
    <row r="19" spans="1:30" s="118" customFormat="1" ht="24.25" customHeight="1">
      <c r="A19" s="49" t="s">
        <v>33</v>
      </c>
      <c r="B19" s="111" t="s">
        <v>52</v>
      </c>
      <c r="C19" s="84" t="s">
        <v>53</v>
      </c>
      <c r="D19" s="86">
        <f>E19</f>
        <v>1030</v>
      </c>
      <c r="E19" s="86">
        <f>SUM(E20:E32)</f>
        <v>1030</v>
      </c>
      <c r="F19" s="112">
        <f>SUM(F20:F32)</f>
        <v>182.374</v>
      </c>
      <c r="G19" s="113">
        <f>SUM(G20:G32)</f>
        <v>182.374</v>
      </c>
      <c r="H19" s="100"/>
      <c r="I19" s="100"/>
      <c r="J19" s="114"/>
      <c r="K19" s="82"/>
      <c r="L19" s="114"/>
      <c r="M19" s="114"/>
      <c r="N19" s="68">
        <f t="shared" ref="N19:U19" si="11">SUM(N20:N32)</f>
        <v>570</v>
      </c>
      <c r="O19" s="115">
        <f t="shared" si="11"/>
        <v>35.89</v>
      </c>
      <c r="P19" s="68">
        <f t="shared" si="11"/>
        <v>90</v>
      </c>
      <c r="Q19" s="115">
        <f t="shared" si="11"/>
        <v>23.064</v>
      </c>
      <c r="R19" s="68">
        <f t="shared" si="11"/>
        <v>330</v>
      </c>
      <c r="S19" s="115">
        <f t="shared" si="11"/>
        <v>121.91999999999999</v>
      </c>
      <c r="T19" s="68">
        <f t="shared" si="11"/>
        <v>0</v>
      </c>
      <c r="U19" s="115">
        <f t="shared" si="11"/>
        <v>0</v>
      </c>
      <c r="V19" s="70" t="s">
        <v>36</v>
      </c>
      <c r="W19" s="70" t="s">
        <v>36</v>
      </c>
      <c r="X19" s="70" t="s">
        <v>36</v>
      </c>
      <c r="Y19" s="116"/>
      <c r="Z19" s="117">
        <f>SUM(D19:F19)</f>
        <v>2242.3739999999998</v>
      </c>
      <c r="AA19" s="117">
        <f>F19/E19</f>
        <v>0.17706213592233008</v>
      </c>
      <c r="AB19" s="117"/>
      <c r="AC19" s="117">
        <f t="shared" si="10"/>
        <v>0.17706213592233008</v>
      </c>
      <c r="AD19" s="117"/>
    </row>
    <row r="20" spans="1:30" s="121" customFormat="1" ht="24.25" customHeight="1">
      <c r="A20" s="49"/>
      <c r="B20" s="111" t="s">
        <v>54</v>
      </c>
      <c r="C20" s="84" t="s">
        <v>45</v>
      </c>
      <c r="D20" s="86">
        <f>E20</f>
        <v>500</v>
      </c>
      <c r="E20" s="86">
        <v>500</v>
      </c>
      <c r="F20" s="99">
        <f t="shared" ref="F20:F41" si="12">SUM(G20:I20)</f>
        <v>7.5</v>
      </c>
      <c r="G20" s="115">
        <f t="shared" ref="G20:G41" si="13">K20*E20</f>
        <v>7.5</v>
      </c>
      <c r="H20" s="100"/>
      <c r="I20" s="100"/>
      <c r="J20" s="114"/>
      <c r="K20" s="82">
        <v>1.4999999999999999E-2</v>
      </c>
      <c r="L20" s="114"/>
      <c r="M20" s="114"/>
      <c r="N20" s="68">
        <f>E20</f>
        <v>500</v>
      </c>
      <c r="O20" s="115">
        <f t="shared" ref="O20:O41" si="14">K20*N20</f>
        <v>7.5</v>
      </c>
      <c r="P20" s="68"/>
      <c r="Q20" s="115">
        <f>K20*P20</f>
        <v>0</v>
      </c>
      <c r="R20" s="68"/>
      <c r="S20" s="115">
        <f>R20*$K20</f>
        <v>0</v>
      </c>
      <c r="T20" s="68"/>
      <c r="U20" s="115">
        <f>T20*$K20</f>
        <v>0</v>
      </c>
      <c r="V20" s="70"/>
      <c r="W20" s="70"/>
      <c r="X20" s="70"/>
      <c r="Y20" s="116"/>
      <c r="Z20" s="119"/>
      <c r="AA20" s="120"/>
      <c r="AB20" s="119"/>
      <c r="AC20" s="117"/>
      <c r="AD20" s="119"/>
    </row>
    <row r="21" spans="1:30" s="121" customFormat="1" ht="24.25" customHeight="1">
      <c r="A21" s="49"/>
      <c r="B21" s="111" t="s">
        <v>55</v>
      </c>
      <c r="C21" s="84" t="s">
        <v>56</v>
      </c>
      <c r="D21" s="86">
        <f t="shared" ref="D21:D44" si="15">E21</f>
        <v>300</v>
      </c>
      <c r="E21" s="86">
        <v>300</v>
      </c>
      <c r="F21" s="99">
        <f t="shared" si="12"/>
        <v>110.39999999999999</v>
      </c>
      <c r="G21" s="115">
        <f t="shared" si="13"/>
        <v>110.39999999999999</v>
      </c>
      <c r="H21" s="100"/>
      <c r="I21" s="100"/>
      <c r="J21" s="114"/>
      <c r="K21" s="82">
        <v>0.36799999999999999</v>
      </c>
      <c r="L21" s="114"/>
      <c r="M21" s="114"/>
      <c r="N21" s="68"/>
      <c r="O21" s="115">
        <f t="shared" si="14"/>
        <v>0</v>
      </c>
      <c r="P21" s="68"/>
      <c r="Q21" s="115">
        <f t="shared" ref="Q21:Q41" si="16">K21*P21</f>
        <v>0</v>
      </c>
      <c r="R21" s="68">
        <f>E21</f>
        <v>300</v>
      </c>
      <c r="S21" s="115">
        <f t="shared" ref="S21:S41" si="17">R21*$K21</f>
        <v>110.39999999999999</v>
      </c>
      <c r="T21" s="68"/>
      <c r="U21" s="115">
        <f t="shared" ref="U21:U41" si="18">T21*$K21</f>
        <v>0</v>
      </c>
      <c r="V21" s="70"/>
      <c r="W21" s="70"/>
      <c r="X21" s="70"/>
      <c r="Y21" s="116"/>
      <c r="Z21" s="119"/>
      <c r="AA21" s="120"/>
      <c r="AB21" s="119"/>
      <c r="AC21" s="117"/>
      <c r="AD21" s="119"/>
    </row>
    <row r="22" spans="1:30" s="121" customFormat="1" ht="24.25" customHeight="1">
      <c r="A22" s="49"/>
      <c r="B22" s="111" t="s">
        <v>57</v>
      </c>
      <c r="C22" s="84" t="s">
        <v>56</v>
      </c>
      <c r="D22" s="86">
        <f t="shared" si="15"/>
        <v>30</v>
      </c>
      <c r="E22" s="86">
        <v>30</v>
      </c>
      <c r="F22" s="99">
        <f t="shared" si="12"/>
        <v>11.52</v>
      </c>
      <c r="G22" s="115">
        <f t="shared" si="13"/>
        <v>11.52</v>
      </c>
      <c r="H22" s="100"/>
      <c r="I22" s="100"/>
      <c r="J22" s="114"/>
      <c r="K22" s="82">
        <v>0.38400000000000001</v>
      </c>
      <c r="L22" s="114"/>
      <c r="M22" s="114"/>
      <c r="N22" s="68"/>
      <c r="O22" s="115">
        <f t="shared" si="14"/>
        <v>0</v>
      </c>
      <c r="P22" s="68"/>
      <c r="Q22" s="115">
        <f t="shared" si="16"/>
        <v>0</v>
      </c>
      <c r="R22" s="68">
        <f>E22</f>
        <v>30</v>
      </c>
      <c r="S22" s="115">
        <f t="shared" si="17"/>
        <v>11.52</v>
      </c>
      <c r="T22" s="68"/>
      <c r="U22" s="115">
        <f t="shared" si="18"/>
        <v>0</v>
      </c>
      <c r="V22" s="70"/>
      <c r="W22" s="70"/>
      <c r="X22" s="70"/>
      <c r="Y22" s="116"/>
      <c r="Z22" s="119"/>
      <c r="AA22" s="120"/>
      <c r="AB22" s="119"/>
      <c r="AC22" s="117"/>
      <c r="AD22" s="119"/>
    </row>
    <row r="23" spans="1:30" s="121" customFormat="1" ht="24.25" customHeight="1">
      <c r="A23" s="49"/>
      <c r="B23" s="111" t="s">
        <v>58</v>
      </c>
      <c r="C23" s="84" t="s">
        <v>45</v>
      </c>
      <c r="D23" s="86">
        <f t="shared" si="15"/>
        <v>40</v>
      </c>
      <c r="E23" s="86">
        <v>40</v>
      </c>
      <c r="F23" s="99">
        <f t="shared" si="12"/>
        <v>1.2</v>
      </c>
      <c r="G23" s="115">
        <f t="shared" si="13"/>
        <v>1.2</v>
      </c>
      <c r="H23" s="100"/>
      <c r="I23" s="100"/>
      <c r="J23" s="114"/>
      <c r="K23" s="82">
        <v>0.03</v>
      </c>
      <c r="L23" s="114"/>
      <c r="M23" s="114"/>
      <c r="N23" s="68">
        <v>20</v>
      </c>
      <c r="O23" s="115">
        <f t="shared" si="14"/>
        <v>0.6</v>
      </c>
      <c r="P23" s="68"/>
      <c r="Q23" s="115">
        <f t="shared" si="16"/>
        <v>0</v>
      </c>
      <c r="R23" s="68"/>
      <c r="S23" s="115">
        <f t="shared" si="17"/>
        <v>0</v>
      </c>
      <c r="T23" s="68"/>
      <c r="U23" s="115">
        <f t="shared" si="18"/>
        <v>0</v>
      </c>
      <c r="V23" s="70"/>
      <c r="W23" s="70"/>
      <c r="X23" s="70"/>
      <c r="Y23" s="116"/>
      <c r="Z23" s="119"/>
      <c r="AA23" s="120"/>
      <c r="AB23" s="119"/>
      <c r="AC23" s="117"/>
      <c r="AD23" s="119"/>
    </row>
    <row r="24" spans="1:30" s="121" customFormat="1" ht="25.5" customHeight="1">
      <c r="A24" s="49"/>
      <c r="B24" s="111" t="s">
        <v>59</v>
      </c>
      <c r="C24" s="84" t="s">
        <v>56</v>
      </c>
      <c r="D24" s="86">
        <f t="shared" si="15"/>
        <v>40</v>
      </c>
      <c r="E24" s="86">
        <v>40</v>
      </c>
      <c r="F24" s="99">
        <f t="shared" si="12"/>
        <v>1.7999999999999998</v>
      </c>
      <c r="G24" s="115">
        <f t="shared" si="13"/>
        <v>1.7999999999999998</v>
      </c>
      <c r="H24" s="100"/>
      <c r="I24" s="100"/>
      <c r="J24" s="114"/>
      <c r="K24" s="82">
        <v>4.4999999999999998E-2</v>
      </c>
      <c r="L24" s="114"/>
      <c r="M24" s="114"/>
      <c r="N24" s="68">
        <v>20</v>
      </c>
      <c r="O24" s="115">
        <f t="shared" si="14"/>
        <v>0.89999999999999991</v>
      </c>
      <c r="P24" s="68"/>
      <c r="Q24" s="115">
        <f t="shared" si="16"/>
        <v>0</v>
      </c>
      <c r="R24" s="68"/>
      <c r="S24" s="115">
        <f t="shared" si="17"/>
        <v>0</v>
      </c>
      <c r="T24" s="68"/>
      <c r="U24" s="115">
        <f t="shared" si="18"/>
        <v>0</v>
      </c>
      <c r="V24" s="70"/>
      <c r="W24" s="70"/>
      <c r="X24" s="70"/>
      <c r="Y24" s="116"/>
      <c r="Z24" s="119"/>
      <c r="AA24" s="120"/>
      <c r="AB24" s="119"/>
      <c r="AC24" s="117"/>
      <c r="AD24" s="119"/>
    </row>
    <row r="25" spans="1:30" s="121" customFormat="1" ht="25.5" customHeight="1">
      <c r="A25" s="49"/>
      <c r="B25" s="111" t="s">
        <v>60</v>
      </c>
      <c r="C25" s="84" t="s">
        <v>56</v>
      </c>
      <c r="D25" s="86">
        <f t="shared" si="15"/>
        <v>20</v>
      </c>
      <c r="E25" s="86">
        <v>20</v>
      </c>
      <c r="F25" s="99">
        <f>SUM(G25:I25)</f>
        <v>18.48</v>
      </c>
      <c r="G25" s="115">
        <f>K25*E25</f>
        <v>18.48</v>
      </c>
      <c r="H25" s="100"/>
      <c r="I25" s="100"/>
      <c r="J25" s="114"/>
      <c r="K25" s="82">
        <v>0.92400000000000004</v>
      </c>
      <c r="L25" s="114"/>
      <c r="M25" s="114"/>
      <c r="N25" s="68">
        <v>20</v>
      </c>
      <c r="O25" s="115">
        <f>K25*N25</f>
        <v>18.48</v>
      </c>
      <c r="P25" s="68"/>
      <c r="Q25" s="115">
        <f>K25*P25</f>
        <v>0</v>
      </c>
      <c r="R25" s="68"/>
      <c r="S25" s="115">
        <f>R25*$K25</f>
        <v>0</v>
      </c>
      <c r="T25" s="68"/>
      <c r="U25" s="115">
        <f>T25*$K25</f>
        <v>0</v>
      </c>
      <c r="V25" s="70"/>
      <c r="W25" s="70"/>
      <c r="X25" s="70"/>
      <c r="Y25" s="116"/>
      <c r="Z25" s="119"/>
      <c r="AA25" s="120"/>
      <c r="AB25" s="119"/>
      <c r="AC25" s="117"/>
      <c r="AD25" s="119"/>
    </row>
    <row r="26" spans="1:30" s="121" customFormat="1" ht="25.5" customHeight="1">
      <c r="A26" s="49"/>
      <c r="B26" s="111" t="s">
        <v>61</v>
      </c>
      <c r="C26" s="84" t="s">
        <v>56</v>
      </c>
      <c r="D26" s="86">
        <f t="shared" si="15"/>
        <v>20</v>
      </c>
      <c r="E26" s="86">
        <v>20</v>
      </c>
      <c r="F26" s="99">
        <f t="shared" ref="F26:F28" si="19">SUM(G26:I26)</f>
        <v>3.222</v>
      </c>
      <c r="G26" s="115">
        <f t="shared" ref="G26:G28" si="20">K26*E26</f>
        <v>3.222</v>
      </c>
      <c r="H26" s="100"/>
      <c r="I26" s="100"/>
      <c r="J26" s="114"/>
      <c r="K26" s="82">
        <f>0.3222/2</f>
        <v>0.16109999999999999</v>
      </c>
      <c r="L26" s="114"/>
      <c r="M26" s="114"/>
      <c r="N26" s="68"/>
      <c r="O26" s="115">
        <f t="shared" ref="O26:O28" si="21">K26*N26</f>
        <v>0</v>
      </c>
      <c r="P26" s="68">
        <f>E26</f>
        <v>20</v>
      </c>
      <c r="Q26" s="115">
        <f t="shared" ref="Q26:Q28" si="22">K26*P26</f>
        <v>3.222</v>
      </c>
      <c r="R26" s="68"/>
      <c r="S26" s="115">
        <f t="shared" ref="S26:S28" si="23">R26*$K26</f>
        <v>0</v>
      </c>
      <c r="T26" s="68"/>
      <c r="U26" s="115">
        <f t="shared" ref="U26:U28" si="24">T26*$K26</f>
        <v>0</v>
      </c>
      <c r="V26" s="70"/>
      <c r="W26" s="70"/>
      <c r="X26" s="70"/>
      <c r="Y26" s="116"/>
      <c r="Z26" s="119"/>
      <c r="AA26" s="120"/>
      <c r="AB26" s="119"/>
      <c r="AC26" s="117"/>
      <c r="AD26" s="119"/>
    </row>
    <row r="27" spans="1:30" s="121" customFormat="1" ht="25.5" customHeight="1">
      <c r="A27" s="49"/>
      <c r="B27" s="111" t="s">
        <v>62</v>
      </c>
      <c r="C27" s="84" t="s">
        <v>56</v>
      </c>
      <c r="D27" s="86">
        <f t="shared" si="15"/>
        <v>20</v>
      </c>
      <c r="E27" s="86">
        <v>20</v>
      </c>
      <c r="F27" s="99">
        <f t="shared" si="19"/>
        <v>3.222</v>
      </c>
      <c r="G27" s="115">
        <f t="shared" si="20"/>
        <v>3.222</v>
      </c>
      <c r="H27" s="100"/>
      <c r="I27" s="100"/>
      <c r="J27" s="114"/>
      <c r="K27" s="82">
        <v>0.16109999999999999</v>
      </c>
      <c r="L27" s="114"/>
      <c r="M27" s="114"/>
      <c r="N27" s="68"/>
      <c r="O27" s="115">
        <f t="shared" si="21"/>
        <v>0</v>
      </c>
      <c r="P27" s="68">
        <f>E27</f>
        <v>20</v>
      </c>
      <c r="Q27" s="115">
        <f t="shared" si="22"/>
        <v>3.222</v>
      </c>
      <c r="R27" s="68"/>
      <c r="S27" s="115">
        <f t="shared" si="23"/>
        <v>0</v>
      </c>
      <c r="T27" s="68"/>
      <c r="U27" s="115">
        <f t="shared" si="24"/>
        <v>0</v>
      </c>
      <c r="V27" s="70"/>
      <c r="W27" s="70"/>
      <c r="X27" s="70"/>
      <c r="Y27" s="116"/>
      <c r="Z27" s="119"/>
      <c r="AA27" s="120"/>
      <c r="AB27" s="119"/>
      <c r="AC27" s="117"/>
      <c r="AD27" s="119"/>
    </row>
    <row r="28" spans="1:30" s="121" customFormat="1" ht="25.5" customHeight="1">
      <c r="A28" s="49"/>
      <c r="B28" s="111" t="s">
        <v>63</v>
      </c>
      <c r="C28" s="84" t="s">
        <v>56</v>
      </c>
      <c r="D28" s="86">
        <f t="shared" si="15"/>
        <v>10</v>
      </c>
      <c r="E28" s="86">
        <v>10</v>
      </c>
      <c r="F28" s="99">
        <f t="shared" si="19"/>
        <v>8.41</v>
      </c>
      <c r="G28" s="115">
        <f t="shared" si="20"/>
        <v>8.41</v>
      </c>
      <c r="H28" s="100"/>
      <c r="I28" s="100"/>
      <c r="J28" s="114"/>
      <c r="K28" s="82">
        <v>0.84099999999999997</v>
      </c>
      <c r="L28" s="114"/>
      <c r="M28" s="114"/>
      <c r="N28" s="68">
        <v>10</v>
      </c>
      <c r="O28" s="115">
        <f t="shared" si="21"/>
        <v>8.41</v>
      </c>
      <c r="P28" s="68"/>
      <c r="Q28" s="115">
        <f t="shared" si="22"/>
        <v>0</v>
      </c>
      <c r="R28" s="68"/>
      <c r="S28" s="115">
        <f t="shared" si="23"/>
        <v>0</v>
      </c>
      <c r="T28" s="68"/>
      <c r="U28" s="115">
        <f t="shared" si="24"/>
        <v>0</v>
      </c>
      <c r="V28" s="70"/>
      <c r="W28" s="70"/>
      <c r="X28" s="70"/>
      <c r="Y28" s="116"/>
      <c r="Z28" s="119"/>
      <c r="AA28" s="120"/>
      <c r="AB28" s="119"/>
      <c r="AC28" s="117"/>
      <c r="AD28" s="119"/>
    </row>
    <row r="29" spans="1:30" s="121" customFormat="1" ht="24.25" customHeight="1">
      <c r="A29" s="49"/>
      <c r="B29" s="111" t="s">
        <v>64</v>
      </c>
      <c r="C29" s="84" t="s">
        <v>56</v>
      </c>
      <c r="D29" s="86">
        <f t="shared" si="15"/>
        <v>20</v>
      </c>
      <c r="E29" s="86">
        <v>20</v>
      </c>
      <c r="F29" s="99">
        <f t="shared" si="12"/>
        <v>2.1</v>
      </c>
      <c r="G29" s="115">
        <f t="shared" si="13"/>
        <v>2.1</v>
      </c>
      <c r="H29" s="100"/>
      <c r="I29" s="100"/>
      <c r="J29" s="114"/>
      <c r="K29" s="82">
        <v>0.105</v>
      </c>
      <c r="L29" s="114"/>
      <c r="M29" s="114"/>
      <c r="N29" s="68"/>
      <c r="O29" s="115">
        <f t="shared" si="14"/>
        <v>0</v>
      </c>
      <c r="P29" s="68">
        <f>E29</f>
        <v>20</v>
      </c>
      <c r="Q29" s="115">
        <f t="shared" si="16"/>
        <v>2.1</v>
      </c>
      <c r="R29" s="68"/>
      <c r="S29" s="115">
        <f t="shared" si="17"/>
        <v>0</v>
      </c>
      <c r="T29" s="68"/>
      <c r="U29" s="115">
        <f t="shared" si="18"/>
        <v>0</v>
      </c>
      <c r="V29" s="70"/>
      <c r="W29" s="70"/>
      <c r="X29" s="70"/>
      <c r="Y29" s="116"/>
      <c r="Z29" s="119"/>
      <c r="AA29" s="120"/>
      <c r="AB29" s="119"/>
      <c r="AC29" s="117"/>
      <c r="AD29" s="119"/>
    </row>
    <row r="30" spans="1:30" s="121" customFormat="1" ht="24.25" customHeight="1">
      <c r="A30" s="49"/>
      <c r="B30" s="111" t="s">
        <v>65</v>
      </c>
      <c r="C30" s="84" t="s">
        <v>56</v>
      </c>
      <c r="D30" s="86">
        <f t="shared" si="15"/>
        <v>10</v>
      </c>
      <c r="E30" s="86">
        <v>10</v>
      </c>
      <c r="F30" s="99">
        <f t="shared" si="12"/>
        <v>7.62</v>
      </c>
      <c r="G30" s="115">
        <f t="shared" si="13"/>
        <v>7.62</v>
      </c>
      <c r="H30" s="100"/>
      <c r="I30" s="100"/>
      <c r="J30" s="114"/>
      <c r="K30" s="82">
        <v>0.76200000000000001</v>
      </c>
      <c r="L30" s="114"/>
      <c r="M30" s="114"/>
      <c r="N30" s="68"/>
      <c r="O30" s="115">
        <f t="shared" si="14"/>
        <v>0</v>
      </c>
      <c r="P30" s="68">
        <f>E30</f>
        <v>10</v>
      </c>
      <c r="Q30" s="115">
        <f t="shared" si="16"/>
        <v>7.62</v>
      </c>
      <c r="R30" s="68"/>
      <c r="S30" s="115">
        <f t="shared" si="17"/>
        <v>0</v>
      </c>
      <c r="T30" s="68"/>
      <c r="U30" s="115">
        <f t="shared" si="18"/>
        <v>0</v>
      </c>
      <c r="V30" s="70"/>
      <c r="W30" s="70"/>
      <c r="X30" s="70"/>
      <c r="Y30" s="116"/>
      <c r="Z30" s="119"/>
      <c r="AA30" s="120"/>
      <c r="AB30" s="119"/>
      <c r="AC30" s="117"/>
      <c r="AD30" s="119"/>
    </row>
    <row r="31" spans="1:30" s="121" customFormat="1" ht="24.25" customHeight="1">
      <c r="A31" s="49"/>
      <c r="B31" s="111" t="s">
        <v>66</v>
      </c>
      <c r="C31" s="84" t="s">
        <v>56</v>
      </c>
      <c r="D31" s="86">
        <f t="shared" si="15"/>
        <v>10</v>
      </c>
      <c r="E31" s="86">
        <v>10</v>
      </c>
      <c r="F31" s="99">
        <f t="shared" si="12"/>
        <v>5.4</v>
      </c>
      <c r="G31" s="115">
        <f t="shared" si="13"/>
        <v>5.4</v>
      </c>
      <c r="H31" s="100"/>
      <c r="I31" s="100"/>
      <c r="J31" s="114"/>
      <c r="K31" s="82">
        <v>0.54</v>
      </c>
      <c r="L31" s="114"/>
      <c r="M31" s="114"/>
      <c r="N31" s="68"/>
      <c r="O31" s="115">
        <f t="shared" si="14"/>
        <v>0</v>
      </c>
      <c r="P31" s="68">
        <f>E31</f>
        <v>10</v>
      </c>
      <c r="Q31" s="115">
        <f t="shared" si="16"/>
        <v>5.4</v>
      </c>
      <c r="R31" s="68"/>
      <c r="S31" s="115">
        <f t="shared" si="17"/>
        <v>0</v>
      </c>
      <c r="T31" s="68"/>
      <c r="U31" s="115">
        <f t="shared" si="18"/>
        <v>0</v>
      </c>
      <c r="V31" s="70"/>
      <c r="W31" s="70"/>
      <c r="X31" s="70"/>
      <c r="Y31" s="116"/>
      <c r="Z31" s="119"/>
      <c r="AA31" s="120"/>
      <c r="AB31" s="119"/>
      <c r="AC31" s="117"/>
      <c r="AD31" s="119"/>
    </row>
    <row r="32" spans="1:30" s="121" customFormat="1" ht="24.25" customHeight="1">
      <c r="A32" s="49"/>
      <c r="B32" s="111" t="s">
        <v>67</v>
      </c>
      <c r="C32" s="84" t="s">
        <v>45</v>
      </c>
      <c r="D32" s="86">
        <f t="shared" si="15"/>
        <v>10</v>
      </c>
      <c r="E32" s="86">
        <v>10</v>
      </c>
      <c r="F32" s="99">
        <f t="shared" si="12"/>
        <v>1.5</v>
      </c>
      <c r="G32" s="115">
        <f t="shared" si="13"/>
        <v>1.5</v>
      </c>
      <c r="H32" s="100"/>
      <c r="I32" s="100"/>
      <c r="J32" s="114"/>
      <c r="K32" s="82">
        <v>0.15</v>
      </c>
      <c r="L32" s="114"/>
      <c r="M32" s="114"/>
      <c r="N32" s="68"/>
      <c r="O32" s="115">
        <f t="shared" si="14"/>
        <v>0</v>
      </c>
      <c r="P32" s="68">
        <v>10</v>
      </c>
      <c r="Q32" s="115">
        <f t="shared" si="16"/>
        <v>1.5</v>
      </c>
      <c r="R32" s="68"/>
      <c r="S32" s="115">
        <f t="shared" si="17"/>
        <v>0</v>
      </c>
      <c r="T32" s="68"/>
      <c r="U32" s="115">
        <f t="shared" si="18"/>
        <v>0</v>
      </c>
      <c r="V32" s="70"/>
      <c r="W32" s="70"/>
      <c r="X32" s="70"/>
      <c r="Y32" s="116"/>
      <c r="Z32" s="119"/>
      <c r="AA32" s="120"/>
      <c r="AB32" s="119"/>
      <c r="AC32" s="117"/>
      <c r="AD32" s="119"/>
    </row>
    <row r="33" spans="1:30" s="121" customFormat="1" ht="27.5" customHeight="1">
      <c r="A33" s="84" t="s">
        <v>33</v>
      </c>
      <c r="B33" s="122" t="s">
        <v>68</v>
      </c>
      <c r="C33" s="84" t="s">
        <v>56</v>
      </c>
      <c r="D33" s="86">
        <f t="shared" si="15"/>
        <v>360</v>
      </c>
      <c r="E33" s="123">
        <f>SUM(E34:E41)</f>
        <v>360</v>
      </c>
      <c r="F33" s="124">
        <f>SUM(F34:F41)</f>
        <v>186.95699999999999</v>
      </c>
      <c r="G33" s="124">
        <f>SUM(G34:G41)</f>
        <v>186.95699999999999</v>
      </c>
      <c r="H33" s="100"/>
      <c r="I33" s="100"/>
      <c r="J33" s="101"/>
      <c r="K33" s="125"/>
      <c r="L33" s="101"/>
      <c r="M33" s="101"/>
      <c r="N33" s="68">
        <f t="shared" ref="N33:U33" si="25">SUM(N34:N41)</f>
        <v>0</v>
      </c>
      <c r="O33" s="115">
        <f t="shared" si="25"/>
        <v>0</v>
      </c>
      <c r="P33" s="68">
        <f t="shared" si="25"/>
        <v>240</v>
      </c>
      <c r="Q33" s="115">
        <f t="shared" si="25"/>
        <v>114.24</v>
      </c>
      <c r="R33" s="68">
        <f t="shared" si="25"/>
        <v>120</v>
      </c>
      <c r="S33" s="115">
        <f t="shared" si="25"/>
        <v>72.717000000000013</v>
      </c>
      <c r="T33" s="68">
        <f t="shared" si="25"/>
        <v>0</v>
      </c>
      <c r="U33" s="115">
        <f t="shared" si="25"/>
        <v>0</v>
      </c>
      <c r="V33" s="70" t="s">
        <v>36</v>
      </c>
      <c r="W33" s="70" t="s">
        <v>36</v>
      </c>
      <c r="X33" s="70" t="s">
        <v>36</v>
      </c>
      <c r="Y33" s="116"/>
      <c r="Z33" s="119"/>
      <c r="AA33" s="120"/>
      <c r="AB33" s="119"/>
      <c r="AC33" s="117">
        <f t="shared" si="10"/>
        <v>0.51932500000000004</v>
      </c>
      <c r="AD33" s="119"/>
    </row>
    <row r="34" spans="1:30" s="121" customFormat="1" ht="27.5" customHeight="1">
      <c r="A34" s="84"/>
      <c r="B34" s="122" t="s">
        <v>69</v>
      </c>
      <c r="C34" s="84" t="s">
        <v>56</v>
      </c>
      <c r="D34" s="86">
        <f t="shared" si="15"/>
        <v>80</v>
      </c>
      <c r="E34" s="123">
        <v>80</v>
      </c>
      <c r="F34" s="99">
        <f t="shared" si="12"/>
        <v>35.520000000000003</v>
      </c>
      <c r="G34" s="115">
        <f t="shared" si="13"/>
        <v>35.520000000000003</v>
      </c>
      <c r="H34" s="100"/>
      <c r="I34" s="100"/>
      <c r="J34" s="101"/>
      <c r="K34" s="125">
        <v>0.44400000000000001</v>
      </c>
      <c r="L34" s="101"/>
      <c r="M34" s="101"/>
      <c r="N34" s="68"/>
      <c r="O34" s="115">
        <f t="shared" si="14"/>
        <v>0</v>
      </c>
      <c r="P34" s="68">
        <f>E34</f>
        <v>80</v>
      </c>
      <c r="Q34" s="115">
        <f t="shared" si="16"/>
        <v>35.520000000000003</v>
      </c>
      <c r="R34" s="68"/>
      <c r="S34" s="115">
        <f t="shared" si="17"/>
        <v>0</v>
      </c>
      <c r="T34" s="68"/>
      <c r="U34" s="115">
        <f t="shared" si="18"/>
        <v>0</v>
      </c>
      <c r="V34" s="70"/>
      <c r="W34" s="70"/>
      <c r="X34" s="70"/>
      <c r="Y34" s="116"/>
      <c r="Z34" s="119"/>
      <c r="AA34" s="120"/>
      <c r="AB34" s="119"/>
      <c r="AC34" s="120"/>
      <c r="AD34" s="119"/>
    </row>
    <row r="35" spans="1:30" s="121" customFormat="1" ht="27.5" customHeight="1">
      <c r="A35" s="84"/>
      <c r="B35" s="122" t="s">
        <v>70</v>
      </c>
      <c r="C35" s="84" t="s">
        <v>56</v>
      </c>
      <c r="D35" s="86">
        <f t="shared" si="15"/>
        <v>80</v>
      </c>
      <c r="E35" s="123">
        <f>E34</f>
        <v>80</v>
      </c>
      <c r="F35" s="99">
        <f t="shared" si="12"/>
        <v>64.08</v>
      </c>
      <c r="G35" s="115">
        <f t="shared" si="13"/>
        <v>64.08</v>
      </c>
      <c r="H35" s="100"/>
      <c r="I35" s="100"/>
      <c r="J35" s="101"/>
      <c r="K35" s="125">
        <v>0.80100000000000005</v>
      </c>
      <c r="L35" s="101"/>
      <c r="M35" s="101"/>
      <c r="N35" s="68"/>
      <c r="O35" s="115">
        <f t="shared" si="14"/>
        <v>0</v>
      </c>
      <c r="P35" s="68">
        <f>E35</f>
        <v>80</v>
      </c>
      <c r="Q35" s="115">
        <f t="shared" si="16"/>
        <v>64.08</v>
      </c>
      <c r="R35" s="68"/>
      <c r="S35" s="115">
        <f t="shared" si="17"/>
        <v>0</v>
      </c>
      <c r="T35" s="68"/>
      <c r="U35" s="115">
        <f t="shared" si="18"/>
        <v>0</v>
      </c>
      <c r="V35" s="70"/>
      <c r="W35" s="70"/>
      <c r="X35" s="70"/>
      <c r="Y35" s="116"/>
      <c r="Z35" s="119"/>
      <c r="AA35" s="120"/>
      <c r="AB35" s="119"/>
      <c r="AC35" s="120"/>
      <c r="AD35" s="119"/>
    </row>
    <row r="36" spans="1:30" s="121" customFormat="1" ht="27.5" customHeight="1">
      <c r="A36" s="84"/>
      <c r="B36" s="122" t="s">
        <v>71</v>
      </c>
      <c r="C36" s="84" t="s">
        <v>56</v>
      </c>
      <c r="D36" s="86">
        <f t="shared" si="15"/>
        <v>80</v>
      </c>
      <c r="E36" s="123">
        <v>80</v>
      </c>
      <c r="F36" s="99">
        <f t="shared" si="12"/>
        <v>14.64</v>
      </c>
      <c r="G36" s="115">
        <f t="shared" si="13"/>
        <v>14.64</v>
      </c>
      <c r="H36" s="100"/>
      <c r="I36" s="100"/>
      <c r="J36" s="101"/>
      <c r="K36" s="125">
        <v>0.183</v>
      </c>
      <c r="L36" s="101"/>
      <c r="M36" s="101"/>
      <c r="N36" s="68"/>
      <c r="O36" s="115">
        <f t="shared" si="14"/>
        <v>0</v>
      </c>
      <c r="P36" s="68">
        <f>E36</f>
        <v>80</v>
      </c>
      <c r="Q36" s="115">
        <f t="shared" si="16"/>
        <v>14.64</v>
      </c>
      <c r="R36" s="68"/>
      <c r="S36" s="115">
        <f t="shared" si="17"/>
        <v>0</v>
      </c>
      <c r="T36" s="68"/>
      <c r="U36" s="115">
        <f t="shared" si="18"/>
        <v>0</v>
      </c>
      <c r="V36" s="70"/>
      <c r="W36" s="70"/>
      <c r="X36" s="70"/>
      <c r="Y36" s="116"/>
      <c r="Z36" s="119"/>
      <c r="AA36" s="120"/>
      <c r="AB36" s="119"/>
      <c r="AC36" s="120"/>
      <c r="AD36" s="119"/>
    </row>
    <row r="37" spans="1:30" s="121" customFormat="1" ht="27.5" customHeight="1">
      <c r="A37" s="84"/>
      <c r="B37" s="122" t="s">
        <v>72</v>
      </c>
      <c r="C37" s="84" t="s">
        <v>56</v>
      </c>
      <c r="D37" s="86">
        <f t="shared" si="15"/>
        <v>50</v>
      </c>
      <c r="E37" s="123">
        <v>50</v>
      </c>
      <c r="F37" s="99">
        <f>SUM(G37:I37)</f>
        <v>50</v>
      </c>
      <c r="G37" s="115">
        <f>K37*E37</f>
        <v>50</v>
      </c>
      <c r="H37" s="100"/>
      <c r="I37" s="100"/>
      <c r="J37" s="101"/>
      <c r="K37" s="125">
        <v>1</v>
      </c>
      <c r="L37" s="101"/>
      <c r="M37" s="101"/>
      <c r="N37" s="68"/>
      <c r="O37" s="115">
        <f>K37*N37</f>
        <v>0</v>
      </c>
      <c r="P37" s="68"/>
      <c r="Q37" s="115">
        <f>K37*P37</f>
        <v>0</v>
      </c>
      <c r="R37" s="68">
        <f>E37</f>
        <v>50</v>
      </c>
      <c r="S37" s="115">
        <f>R37*$K37</f>
        <v>50</v>
      </c>
      <c r="T37" s="68"/>
      <c r="U37" s="115">
        <f>T37*$K37</f>
        <v>0</v>
      </c>
      <c r="V37" s="70"/>
      <c r="W37" s="70"/>
      <c r="X37" s="70"/>
      <c r="Y37" s="116"/>
      <c r="Z37" s="119"/>
      <c r="AA37" s="120"/>
      <c r="AB37" s="119"/>
      <c r="AC37" s="120"/>
      <c r="AD37" s="119"/>
    </row>
    <row r="38" spans="1:30" s="121" customFormat="1" ht="27.5" customHeight="1">
      <c r="A38" s="84"/>
      <c r="B38" s="122" t="s">
        <v>73</v>
      </c>
      <c r="C38" s="84" t="s">
        <v>56</v>
      </c>
      <c r="D38" s="86">
        <f t="shared" si="15"/>
        <v>40</v>
      </c>
      <c r="E38" s="123">
        <v>40</v>
      </c>
      <c r="F38" s="99">
        <f t="shared" ref="F38" si="26">SUM(G38:I38)</f>
        <v>4.1239999999999997</v>
      </c>
      <c r="G38" s="115">
        <f t="shared" ref="G38" si="27">K38*E38</f>
        <v>4.1239999999999997</v>
      </c>
      <c r="H38" s="100"/>
      <c r="I38" s="100"/>
      <c r="J38" s="101"/>
      <c r="K38" s="125">
        <v>0.1031</v>
      </c>
      <c r="L38" s="101"/>
      <c r="M38" s="101"/>
      <c r="N38" s="68"/>
      <c r="O38" s="115">
        <f t="shared" ref="O38" si="28">K38*N38</f>
        <v>0</v>
      </c>
      <c r="P38" s="68"/>
      <c r="Q38" s="115">
        <f t="shared" ref="Q38" si="29">K38*P38</f>
        <v>0</v>
      </c>
      <c r="R38" s="68">
        <f>E38</f>
        <v>40</v>
      </c>
      <c r="S38" s="115">
        <f t="shared" ref="S38" si="30">R38*$K38</f>
        <v>4.1239999999999997</v>
      </c>
      <c r="T38" s="68"/>
      <c r="U38" s="115">
        <f t="shared" ref="U38" si="31">T38*$K38</f>
        <v>0</v>
      </c>
      <c r="V38" s="70"/>
      <c r="W38" s="70"/>
      <c r="X38" s="70"/>
      <c r="Y38" s="116"/>
      <c r="Z38" s="119"/>
      <c r="AA38" s="120"/>
      <c r="AB38" s="119"/>
      <c r="AC38" s="120"/>
      <c r="AD38" s="119"/>
    </row>
    <row r="39" spans="1:30" s="121" customFormat="1" ht="27.5" customHeight="1">
      <c r="A39" s="84"/>
      <c r="B39" s="122" t="s">
        <v>74</v>
      </c>
      <c r="C39" s="84" t="s">
        <v>56</v>
      </c>
      <c r="D39" s="86">
        <f t="shared" si="15"/>
        <v>10</v>
      </c>
      <c r="E39" s="123">
        <v>10</v>
      </c>
      <c r="F39" s="99">
        <f t="shared" si="12"/>
        <v>8.7430000000000003</v>
      </c>
      <c r="G39" s="115">
        <f t="shared" si="13"/>
        <v>8.7430000000000003</v>
      </c>
      <c r="H39" s="100"/>
      <c r="I39" s="100"/>
      <c r="J39" s="101"/>
      <c r="K39" s="125">
        <v>0.87429999999999997</v>
      </c>
      <c r="L39" s="101"/>
      <c r="M39" s="101"/>
      <c r="N39" s="68"/>
      <c r="O39" s="115">
        <f t="shared" si="14"/>
        <v>0</v>
      </c>
      <c r="P39" s="68"/>
      <c r="Q39" s="115">
        <f t="shared" si="16"/>
        <v>0</v>
      </c>
      <c r="R39" s="68">
        <f>E39</f>
        <v>10</v>
      </c>
      <c r="S39" s="115">
        <f t="shared" si="17"/>
        <v>8.7430000000000003</v>
      </c>
      <c r="T39" s="68"/>
      <c r="U39" s="115">
        <f t="shared" si="18"/>
        <v>0</v>
      </c>
      <c r="V39" s="70"/>
      <c r="W39" s="70"/>
      <c r="X39" s="70"/>
      <c r="Y39" s="116"/>
      <c r="Z39" s="119"/>
      <c r="AA39" s="120"/>
      <c r="AB39" s="119"/>
      <c r="AC39" s="120"/>
      <c r="AD39" s="119"/>
    </row>
    <row r="40" spans="1:30" s="121" customFormat="1" ht="27.5" customHeight="1">
      <c r="A40" s="84"/>
      <c r="B40" s="122" t="s">
        <v>75</v>
      </c>
      <c r="C40" s="84" t="s">
        <v>56</v>
      </c>
      <c r="D40" s="86">
        <f t="shared" si="15"/>
        <v>10</v>
      </c>
      <c r="E40" s="123">
        <v>10</v>
      </c>
      <c r="F40" s="99">
        <f t="shared" si="12"/>
        <v>2.6500000000000004</v>
      </c>
      <c r="G40" s="115">
        <f t="shared" si="13"/>
        <v>2.6500000000000004</v>
      </c>
      <c r="H40" s="100"/>
      <c r="I40" s="100"/>
      <c r="J40" s="101"/>
      <c r="K40" s="125">
        <v>0.26500000000000001</v>
      </c>
      <c r="L40" s="101"/>
      <c r="M40" s="101"/>
      <c r="N40" s="68"/>
      <c r="O40" s="115">
        <f t="shared" si="14"/>
        <v>0</v>
      </c>
      <c r="P40" s="68"/>
      <c r="Q40" s="115">
        <f t="shared" si="16"/>
        <v>0</v>
      </c>
      <c r="R40" s="68">
        <f>E40</f>
        <v>10</v>
      </c>
      <c r="S40" s="115">
        <f t="shared" si="17"/>
        <v>2.6500000000000004</v>
      </c>
      <c r="T40" s="68"/>
      <c r="U40" s="115">
        <f t="shared" si="18"/>
        <v>0</v>
      </c>
      <c r="V40" s="70"/>
      <c r="W40" s="70"/>
      <c r="X40" s="70"/>
      <c r="Y40" s="116"/>
      <c r="Z40" s="119"/>
      <c r="AA40" s="120"/>
      <c r="AB40" s="119"/>
      <c r="AC40" s="120"/>
      <c r="AD40" s="119"/>
    </row>
    <row r="41" spans="1:30" s="121" customFormat="1" ht="27.5" customHeight="1">
      <c r="A41" s="84"/>
      <c r="B41" s="122" t="s">
        <v>76</v>
      </c>
      <c r="C41" s="84" t="s">
        <v>56</v>
      </c>
      <c r="D41" s="86">
        <f t="shared" si="15"/>
        <v>10</v>
      </c>
      <c r="E41" s="123">
        <v>10</v>
      </c>
      <c r="F41" s="99">
        <f t="shared" si="12"/>
        <v>7.1999999999999993</v>
      </c>
      <c r="G41" s="115">
        <f t="shared" si="13"/>
        <v>7.1999999999999993</v>
      </c>
      <c r="H41" s="100"/>
      <c r="I41" s="100"/>
      <c r="J41" s="101"/>
      <c r="K41" s="125">
        <v>0.72</v>
      </c>
      <c r="L41" s="101"/>
      <c r="M41" s="101"/>
      <c r="N41" s="68"/>
      <c r="O41" s="115">
        <f t="shared" si="14"/>
        <v>0</v>
      </c>
      <c r="P41" s="68"/>
      <c r="Q41" s="115">
        <f t="shared" si="16"/>
        <v>0</v>
      </c>
      <c r="R41" s="68">
        <f>E41</f>
        <v>10</v>
      </c>
      <c r="S41" s="115">
        <f t="shared" si="17"/>
        <v>7.1999999999999993</v>
      </c>
      <c r="T41" s="68"/>
      <c r="U41" s="115">
        <f t="shared" si="18"/>
        <v>0</v>
      </c>
      <c r="V41" s="70"/>
      <c r="W41" s="70"/>
      <c r="X41" s="70"/>
      <c r="Y41" s="116"/>
      <c r="Z41" s="119"/>
      <c r="AA41" s="120"/>
      <c r="AB41" s="119"/>
      <c r="AC41" s="120"/>
      <c r="AD41" s="119"/>
    </row>
    <row r="42" spans="1:30" s="121" customFormat="1" ht="27.5" customHeight="1">
      <c r="A42" s="84" t="s">
        <v>33</v>
      </c>
      <c r="B42" s="122" t="s">
        <v>77</v>
      </c>
      <c r="C42" s="84" t="s">
        <v>56</v>
      </c>
      <c r="D42" s="86">
        <f t="shared" si="15"/>
        <v>170</v>
      </c>
      <c r="E42" s="123">
        <f>E43+E44</f>
        <v>170</v>
      </c>
      <c r="F42" s="124">
        <f>F43+F44</f>
        <v>165.26999999999998</v>
      </c>
      <c r="G42" s="124">
        <f>G43+G44</f>
        <v>165.26999999999998</v>
      </c>
      <c r="H42" s="100"/>
      <c r="I42" s="100"/>
      <c r="J42" s="101"/>
      <c r="K42" s="125"/>
      <c r="L42" s="101"/>
      <c r="M42" s="101"/>
      <c r="N42" s="126">
        <f t="shared" ref="N42:U42" si="32">N43+N44</f>
        <v>0</v>
      </c>
      <c r="O42" s="127">
        <f t="shared" si="32"/>
        <v>0</v>
      </c>
      <c r="P42" s="126">
        <f t="shared" si="32"/>
        <v>130</v>
      </c>
      <c r="Q42" s="127">
        <f t="shared" si="32"/>
        <v>118.95</v>
      </c>
      <c r="R42" s="126">
        <f t="shared" si="32"/>
        <v>40</v>
      </c>
      <c r="S42" s="127">
        <f t="shared" si="32"/>
        <v>46.319999999999993</v>
      </c>
      <c r="T42" s="126">
        <f t="shared" si="32"/>
        <v>0</v>
      </c>
      <c r="U42" s="127">
        <f t="shared" si="32"/>
        <v>0</v>
      </c>
      <c r="V42" s="70"/>
      <c r="W42" s="70"/>
      <c r="X42" s="70"/>
      <c r="Y42" s="116"/>
      <c r="Z42" s="119"/>
      <c r="AA42" s="120"/>
      <c r="AB42" s="119"/>
      <c r="AC42" s="120"/>
      <c r="AD42" s="119"/>
    </row>
    <row r="43" spans="1:30" s="121" customFormat="1" ht="27.5" customHeight="1">
      <c r="A43" s="84"/>
      <c r="B43" s="122" t="s">
        <v>72</v>
      </c>
      <c r="C43" s="84" t="s">
        <v>56</v>
      </c>
      <c r="D43" s="86">
        <f t="shared" si="15"/>
        <v>130</v>
      </c>
      <c r="E43" s="123">
        <v>130</v>
      </c>
      <c r="F43" s="99">
        <f t="shared" ref="F43:F44" si="33">SUM(G43:I43)</f>
        <v>118.95</v>
      </c>
      <c r="G43" s="115">
        <f t="shared" ref="G43:G44" si="34">K43*E43</f>
        <v>118.95</v>
      </c>
      <c r="H43" s="100"/>
      <c r="I43" s="100"/>
      <c r="J43" s="101"/>
      <c r="K43" s="125">
        <v>0.91500000000000004</v>
      </c>
      <c r="L43" s="101"/>
      <c r="M43" s="101"/>
      <c r="N43" s="68"/>
      <c r="O43" s="115">
        <f>K43*N43</f>
        <v>0</v>
      </c>
      <c r="P43" s="68">
        <f>E43</f>
        <v>130</v>
      </c>
      <c r="Q43" s="115">
        <f t="shared" ref="Q43:Q44" si="35">K43*P43</f>
        <v>118.95</v>
      </c>
      <c r="R43" s="68"/>
      <c r="S43" s="115">
        <f t="shared" ref="S43:S44" si="36">R43*$K43</f>
        <v>0</v>
      </c>
      <c r="T43" s="68"/>
      <c r="U43" s="115">
        <f t="shared" ref="U43:U44" si="37">T43*$K43</f>
        <v>0</v>
      </c>
      <c r="V43" s="70"/>
      <c r="W43" s="70"/>
      <c r="X43" s="70"/>
      <c r="Y43" s="116"/>
      <c r="Z43" s="119"/>
      <c r="AA43" s="120"/>
      <c r="AB43" s="119"/>
      <c r="AC43" s="120"/>
      <c r="AD43" s="119"/>
    </row>
    <row r="44" spans="1:30" s="121" customFormat="1" ht="27.5" customHeight="1">
      <c r="A44" s="84"/>
      <c r="B44" s="122" t="s">
        <v>78</v>
      </c>
      <c r="C44" s="84" t="s">
        <v>56</v>
      </c>
      <c r="D44" s="86">
        <f t="shared" si="15"/>
        <v>40</v>
      </c>
      <c r="E44" s="123">
        <v>40</v>
      </c>
      <c r="F44" s="99">
        <f t="shared" si="33"/>
        <v>46.319999999999993</v>
      </c>
      <c r="G44" s="115">
        <f t="shared" si="34"/>
        <v>46.319999999999993</v>
      </c>
      <c r="H44" s="100"/>
      <c r="I44" s="100"/>
      <c r="J44" s="101"/>
      <c r="K44" s="125">
        <v>1.1579999999999999</v>
      </c>
      <c r="L44" s="101"/>
      <c r="M44" s="101"/>
      <c r="N44" s="68"/>
      <c r="O44" s="115">
        <f>K44*N44</f>
        <v>0</v>
      </c>
      <c r="P44" s="68"/>
      <c r="Q44" s="115">
        <f t="shared" si="35"/>
        <v>0</v>
      </c>
      <c r="R44" s="68">
        <f>E44</f>
        <v>40</v>
      </c>
      <c r="S44" s="115">
        <f t="shared" si="36"/>
        <v>46.319999999999993</v>
      </c>
      <c r="T44" s="68"/>
      <c r="U44" s="115">
        <f t="shared" si="37"/>
        <v>0</v>
      </c>
      <c r="V44" s="70"/>
      <c r="W44" s="70"/>
      <c r="X44" s="70"/>
      <c r="Y44" s="116"/>
      <c r="Z44" s="119"/>
      <c r="AA44" s="120"/>
      <c r="AB44" s="119"/>
      <c r="AC44" s="120"/>
      <c r="AD44" s="119"/>
    </row>
    <row r="45" spans="1:30" s="131" customFormat="1" ht="35.25" customHeight="1">
      <c r="A45" s="47">
        <v>4</v>
      </c>
      <c r="B45" s="128" t="s">
        <v>79</v>
      </c>
      <c r="C45" s="129"/>
      <c r="D45" s="130">
        <f>SUM(D47:D47)</f>
        <v>1</v>
      </c>
      <c r="E45" s="129">
        <f>D45</f>
        <v>1</v>
      </c>
      <c r="F45" s="93">
        <f>SUM(F46:F47)</f>
        <v>90</v>
      </c>
      <c r="G45" s="88">
        <f>SUM(G46:G47)</f>
        <v>90</v>
      </c>
      <c r="H45" s="106"/>
      <c r="I45" s="106"/>
      <c r="J45" s="107"/>
      <c r="K45" s="108"/>
      <c r="L45" s="107"/>
      <c r="M45" s="107"/>
      <c r="N45" s="109">
        <f>SUM(N46:N47)</f>
        <v>1</v>
      </c>
      <c r="O45" s="93">
        <f>SUM(O46:O47)</f>
        <v>50</v>
      </c>
      <c r="P45" s="109">
        <f>SUM(P46:P47)</f>
        <v>1</v>
      </c>
      <c r="Q45" s="93">
        <f>SUM(Q46:Q47)</f>
        <v>40</v>
      </c>
      <c r="R45" s="109"/>
      <c r="S45" s="93">
        <f>SUM(S46:S47)</f>
        <v>0</v>
      </c>
      <c r="T45" s="109"/>
      <c r="U45" s="93">
        <f>SUM(U46:U47)</f>
        <v>0</v>
      </c>
      <c r="V45" s="56" t="s">
        <v>48</v>
      </c>
      <c r="W45" s="56" t="s">
        <v>30</v>
      </c>
      <c r="X45" s="56" t="s">
        <v>31</v>
      </c>
      <c r="Y45" s="94"/>
      <c r="Z45" s="73">
        <f>SUM(D45:F45)</f>
        <v>92</v>
      </c>
      <c r="AA45" s="73">
        <f>F45/E45</f>
        <v>90</v>
      </c>
      <c r="AB45" s="73"/>
      <c r="AC45" s="73">
        <f>F45/E45</f>
        <v>90</v>
      </c>
      <c r="AD45" s="73">
        <v>1</v>
      </c>
    </row>
    <row r="46" spans="1:30" s="141" customFormat="1" ht="41.25" customHeight="1">
      <c r="A46" s="132" t="s">
        <v>80</v>
      </c>
      <c r="B46" s="133" t="s">
        <v>81</v>
      </c>
      <c r="C46" s="134" t="s">
        <v>45</v>
      </c>
      <c r="D46" s="135">
        <v>1</v>
      </c>
      <c r="E46" s="135">
        <f>D46</f>
        <v>1</v>
      </c>
      <c r="F46" s="102">
        <f>SUM(G46:H46)</f>
        <v>40</v>
      </c>
      <c r="G46" s="99">
        <v>40</v>
      </c>
      <c r="H46" s="136"/>
      <c r="I46" s="136"/>
      <c r="J46" s="137"/>
      <c r="K46" s="138">
        <v>200</v>
      </c>
      <c r="L46" s="137"/>
      <c r="M46" s="137"/>
      <c r="N46" s="139"/>
      <c r="O46" s="102">
        <f>N46*AC46</f>
        <v>0</v>
      </c>
      <c r="P46" s="139">
        <v>1</v>
      </c>
      <c r="Q46" s="102">
        <f>P46*AC46</f>
        <v>40</v>
      </c>
      <c r="R46" s="139"/>
      <c r="S46" s="102">
        <f>R46*AC46</f>
        <v>0</v>
      </c>
      <c r="T46" s="139"/>
      <c r="U46" s="102">
        <f>T46*AC46</f>
        <v>0</v>
      </c>
      <c r="V46" s="70"/>
      <c r="W46" s="70"/>
      <c r="X46" s="70"/>
      <c r="Y46" s="71"/>
      <c r="Z46" s="140"/>
      <c r="AA46" s="140"/>
      <c r="AB46" s="140"/>
      <c r="AC46" s="73">
        <f>F46/E46</f>
        <v>40</v>
      </c>
      <c r="AD46" s="140"/>
    </row>
    <row r="47" spans="1:30" s="144" customFormat="1" ht="40.25" customHeight="1">
      <c r="A47" s="97" t="s">
        <v>33</v>
      </c>
      <c r="B47" s="133" t="s">
        <v>82</v>
      </c>
      <c r="C47" s="134" t="s">
        <v>45</v>
      </c>
      <c r="D47" s="135">
        <v>1</v>
      </c>
      <c r="E47" s="135">
        <f>D47</f>
        <v>1</v>
      </c>
      <c r="F47" s="99">
        <f>G47</f>
        <v>50</v>
      </c>
      <c r="G47" s="99">
        <v>50</v>
      </c>
      <c r="H47" s="100"/>
      <c r="I47" s="100"/>
      <c r="J47" s="101"/>
      <c r="K47" s="82">
        <v>300</v>
      </c>
      <c r="L47" s="101"/>
      <c r="M47" s="101"/>
      <c r="N47" s="139">
        <v>1</v>
      </c>
      <c r="O47" s="142">
        <f>N47*$F$47/$E$47</f>
        <v>50</v>
      </c>
      <c r="P47" s="139"/>
      <c r="Q47" s="142">
        <f>P47*$F$47/$E$47</f>
        <v>0</v>
      </c>
      <c r="R47" s="139"/>
      <c r="S47" s="142">
        <f>R47*$F$47/$E$47</f>
        <v>0</v>
      </c>
      <c r="T47" s="139"/>
      <c r="U47" s="142">
        <f>T47*$F$47/$E$47</f>
        <v>0</v>
      </c>
      <c r="V47" s="70" t="s">
        <v>36</v>
      </c>
      <c r="W47" s="70" t="s">
        <v>36</v>
      </c>
      <c r="X47" s="70" t="s">
        <v>36</v>
      </c>
      <c r="Y47" s="84"/>
      <c r="Z47" s="143"/>
      <c r="AA47" s="143"/>
      <c r="AB47" s="143"/>
      <c r="AC47" s="73">
        <f>F47/E47</f>
        <v>50</v>
      </c>
      <c r="AD47" s="143"/>
    </row>
    <row r="48" spans="1:30" s="149" customFormat="1" ht="35.25" customHeight="1">
      <c r="A48" s="47">
        <v>5</v>
      </c>
      <c r="B48" s="145" t="s">
        <v>83</v>
      </c>
      <c r="C48" s="146"/>
      <c r="D48" s="130"/>
      <c r="E48" s="146"/>
      <c r="F48" s="88">
        <f>F49</f>
        <v>0.81799999999999995</v>
      </c>
      <c r="G48" s="88">
        <f>F48</f>
        <v>0.81799999999999995</v>
      </c>
      <c r="H48" s="89"/>
      <c r="I48" s="89"/>
      <c r="J48" s="90"/>
      <c r="K48" s="91"/>
      <c r="L48" s="90"/>
      <c r="M48" s="90"/>
      <c r="N48" s="147">
        <f t="shared" ref="N48:U48" si="38">N49</f>
        <v>1</v>
      </c>
      <c r="O48" s="88">
        <f t="shared" si="38"/>
        <v>0.20449999999999999</v>
      </c>
      <c r="P48" s="147">
        <f t="shared" si="38"/>
        <v>1</v>
      </c>
      <c r="Q48" s="88">
        <f t="shared" si="38"/>
        <v>0.20449999999999999</v>
      </c>
      <c r="R48" s="147">
        <f t="shared" si="38"/>
        <v>1</v>
      </c>
      <c r="S48" s="88">
        <f t="shared" si="38"/>
        <v>0.20449999999999999</v>
      </c>
      <c r="T48" s="147">
        <f t="shared" si="38"/>
        <v>1</v>
      </c>
      <c r="U48" s="88">
        <f t="shared" si="38"/>
        <v>0.20449999999999999</v>
      </c>
      <c r="V48" s="56"/>
      <c r="W48" s="56"/>
      <c r="X48" s="56"/>
      <c r="Y48" s="49"/>
      <c r="Z48" s="148"/>
      <c r="AA48" s="148"/>
      <c r="AB48" s="148"/>
      <c r="AC48" s="73" t="e">
        <f t="shared" ref="AC48:AC51" si="39">F48/E48</f>
        <v>#DIV/0!</v>
      </c>
      <c r="AD48" s="148"/>
    </row>
    <row r="49" spans="1:30" s="144" customFormat="1" ht="35.25" customHeight="1">
      <c r="A49" s="97" t="s">
        <v>33</v>
      </c>
      <c r="B49" s="150" t="s">
        <v>84</v>
      </c>
      <c r="C49" s="134"/>
      <c r="D49" s="135">
        <v>4</v>
      </c>
      <c r="E49" s="134">
        <v>4</v>
      </c>
      <c r="F49" s="99">
        <v>0.81799999999999995</v>
      </c>
      <c r="G49" s="99">
        <f>F49</f>
        <v>0.81799999999999995</v>
      </c>
      <c r="H49" s="100"/>
      <c r="I49" s="100"/>
      <c r="J49" s="101"/>
      <c r="K49" s="82"/>
      <c r="L49" s="101"/>
      <c r="M49" s="101"/>
      <c r="N49" s="139">
        <v>1</v>
      </c>
      <c r="O49" s="142">
        <f>AC49*N49</f>
        <v>0.20449999999999999</v>
      </c>
      <c r="P49" s="139">
        <v>1</v>
      </c>
      <c r="Q49" s="142">
        <f>AC49*P49</f>
        <v>0.20449999999999999</v>
      </c>
      <c r="R49" s="139">
        <v>1</v>
      </c>
      <c r="S49" s="142">
        <f>AC49*R49</f>
        <v>0.20449999999999999</v>
      </c>
      <c r="T49" s="139">
        <v>1</v>
      </c>
      <c r="U49" s="142">
        <f>T49*AC49</f>
        <v>0.20449999999999999</v>
      </c>
      <c r="V49" s="70"/>
      <c r="W49" s="70"/>
      <c r="X49" s="70"/>
      <c r="Y49" s="84"/>
      <c r="Z49" s="143"/>
      <c r="AA49" s="143"/>
      <c r="AB49" s="143"/>
      <c r="AC49" s="73">
        <f t="shared" si="39"/>
        <v>0.20449999999999999</v>
      </c>
      <c r="AD49" s="143"/>
    </row>
    <row r="50" spans="1:30" s="149" customFormat="1" ht="35.25" customHeight="1">
      <c r="A50" s="47">
        <v>6</v>
      </c>
      <c r="B50" s="151" t="s">
        <v>85</v>
      </c>
      <c r="C50" s="152"/>
      <c r="D50" s="50"/>
      <c r="E50" s="152"/>
      <c r="F50" s="88">
        <f>F51</f>
        <v>0.24399999999999999</v>
      </c>
      <c r="G50" s="88">
        <f t="shared" ref="G50:G52" si="40">F50</f>
        <v>0.24399999999999999</v>
      </c>
      <c r="H50" s="89"/>
      <c r="I50" s="89"/>
      <c r="J50" s="90"/>
      <c r="K50" s="91"/>
      <c r="L50" s="90"/>
      <c r="M50" s="90"/>
      <c r="N50" s="147">
        <f t="shared" ref="N50:U50" si="41">N51</f>
        <v>1</v>
      </c>
      <c r="O50" s="88">
        <f t="shared" si="41"/>
        <v>0.24399999999999999</v>
      </c>
      <c r="P50" s="147">
        <f t="shared" si="41"/>
        <v>0</v>
      </c>
      <c r="Q50" s="88">
        <f t="shared" si="41"/>
        <v>0</v>
      </c>
      <c r="R50" s="147">
        <f t="shared" si="41"/>
        <v>0</v>
      </c>
      <c r="S50" s="88">
        <f t="shared" si="41"/>
        <v>0</v>
      </c>
      <c r="T50" s="147">
        <f t="shared" si="41"/>
        <v>0</v>
      </c>
      <c r="U50" s="88">
        <f t="shared" si="41"/>
        <v>0</v>
      </c>
      <c r="V50" s="56"/>
      <c r="W50" s="56"/>
      <c r="X50" s="56"/>
      <c r="Y50" s="49"/>
      <c r="Z50" s="148"/>
      <c r="AA50" s="148"/>
      <c r="AB50" s="148"/>
      <c r="AC50" s="73" t="e">
        <f t="shared" si="39"/>
        <v>#DIV/0!</v>
      </c>
      <c r="AD50" s="148"/>
    </row>
    <row r="51" spans="1:30" s="144" customFormat="1" ht="35.25" customHeight="1">
      <c r="A51" s="97" t="s">
        <v>33</v>
      </c>
      <c r="B51" s="153" t="s">
        <v>86</v>
      </c>
      <c r="C51" s="154"/>
      <c r="D51" s="86">
        <v>1</v>
      </c>
      <c r="E51" s="154">
        <v>1</v>
      </c>
      <c r="F51" s="99">
        <v>0.24399999999999999</v>
      </c>
      <c r="G51" s="99">
        <f t="shared" si="40"/>
        <v>0.24399999999999999</v>
      </c>
      <c r="H51" s="100"/>
      <c r="I51" s="100"/>
      <c r="J51" s="101"/>
      <c r="K51" s="82"/>
      <c r="L51" s="101"/>
      <c r="M51" s="101"/>
      <c r="N51" s="139">
        <v>1</v>
      </c>
      <c r="O51" s="142">
        <f>AC51*N51</f>
        <v>0.24399999999999999</v>
      </c>
      <c r="P51" s="139"/>
      <c r="Q51" s="142">
        <f>AC51*P51</f>
        <v>0</v>
      </c>
      <c r="R51" s="139"/>
      <c r="S51" s="142">
        <f>AC51*R51</f>
        <v>0</v>
      </c>
      <c r="T51" s="139"/>
      <c r="U51" s="142">
        <f>T51*AC51</f>
        <v>0</v>
      </c>
      <c r="V51" s="70"/>
      <c r="W51" s="70"/>
      <c r="X51" s="70"/>
      <c r="Y51" s="84"/>
      <c r="Z51" s="143"/>
      <c r="AA51" s="143"/>
      <c r="AB51" s="143"/>
      <c r="AC51" s="73">
        <f t="shared" si="39"/>
        <v>0.24399999999999999</v>
      </c>
      <c r="AD51" s="143"/>
    </row>
    <row r="52" spans="1:30" s="167" customFormat="1" ht="18.75" customHeight="1">
      <c r="A52" s="155" t="s">
        <v>33</v>
      </c>
      <c r="B52" s="156" t="s">
        <v>87</v>
      </c>
      <c r="C52" s="157"/>
      <c r="D52" s="158"/>
      <c r="E52" s="157"/>
      <c r="F52" s="159">
        <v>6</v>
      </c>
      <c r="G52" s="160">
        <f t="shared" si="40"/>
        <v>6</v>
      </c>
      <c r="H52" s="161"/>
      <c r="I52" s="161"/>
      <c r="J52" s="162"/>
      <c r="K52" s="163"/>
      <c r="L52" s="162"/>
      <c r="M52" s="162"/>
      <c r="N52" s="164"/>
      <c r="O52" s="159">
        <f t="shared" ref="O52" si="42">F52/4</f>
        <v>1.5</v>
      </c>
      <c r="P52" s="164"/>
      <c r="Q52" s="159">
        <f t="shared" ref="Q52" si="43">F52/4</f>
        <v>1.5</v>
      </c>
      <c r="R52" s="164"/>
      <c r="S52" s="159">
        <f t="shared" ref="S52" si="44">F52/4</f>
        <v>1.5</v>
      </c>
      <c r="T52" s="164"/>
      <c r="U52" s="159">
        <f t="shared" ref="U52" si="45">F52/4</f>
        <v>1.5</v>
      </c>
      <c r="V52" s="165"/>
      <c r="W52" s="165" t="s">
        <v>88</v>
      </c>
      <c r="X52" s="165" t="s">
        <v>89</v>
      </c>
      <c r="Y52" s="166"/>
      <c r="Z52" s="119"/>
      <c r="AA52" s="119"/>
      <c r="AB52" s="119"/>
      <c r="AC52" s="140"/>
      <c r="AD52" s="119"/>
    </row>
    <row r="53" spans="1:30">
      <c r="F53" s="171"/>
      <c r="G53" s="171"/>
      <c r="H53" s="172"/>
      <c r="I53" s="172"/>
      <c r="J53" s="173"/>
      <c r="K53" s="174"/>
      <c r="L53" s="173"/>
      <c r="M53" s="173"/>
    </row>
    <row r="54" spans="1:30">
      <c r="F54" s="171"/>
      <c r="G54" s="171"/>
      <c r="H54" s="172"/>
      <c r="I54" s="172"/>
      <c r="J54" s="173"/>
      <c r="K54" s="174"/>
      <c r="L54" s="173"/>
      <c r="M54" s="173"/>
    </row>
  </sheetData>
  <mergeCells count="20">
    <mergeCell ref="V3:V4"/>
    <mergeCell ref="W3:W4"/>
    <mergeCell ref="X3:X4"/>
    <mergeCell ref="AB7:AB8"/>
    <mergeCell ref="D3:D4"/>
    <mergeCell ref="E3:E4"/>
    <mergeCell ref="N3:O3"/>
    <mergeCell ref="P3:Q3"/>
    <mergeCell ref="R3:S3"/>
    <mergeCell ref="T3:U3"/>
    <mergeCell ref="A1:Y1"/>
    <mergeCell ref="A2:A4"/>
    <mergeCell ref="B2:B4"/>
    <mergeCell ref="C2:E2"/>
    <mergeCell ref="F2:I3"/>
    <mergeCell ref="J2:M3"/>
    <mergeCell ref="N2:U2"/>
    <mergeCell ref="V2:X2"/>
    <mergeCell ref="Y2:Y4"/>
    <mergeCell ref="C3:C4"/>
  </mergeCells>
  <conditionalFormatting sqref="F20:F32">
    <cfRule type="expression" priority="3" stopIfTrue="1">
      <formula>"cellhasformula"</formula>
    </cfRule>
  </conditionalFormatting>
  <conditionalFormatting sqref="F43:F44">
    <cfRule type="expression" priority="2" stopIfTrue="1">
      <formula>"cellhasformula"</formula>
    </cfRule>
  </conditionalFormatting>
  <conditionalFormatting sqref="F7:M17 G45">
    <cfRule type="expression" priority="5" stopIfTrue="1">
      <formula>"cellhasformula"</formula>
    </cfRule>
  </conditionalFormatting>
  <conditionalFormatting sqref="G52">
    <cfRule type="expression" priority="4" stopIfTrue="1">
      <formula>"cellhasformula"</formula>
    </cfRule>
  </conditionalFormatting>
  <conditionalFormatting sqref="H19:M44 F34:F41">
    <cfRule type="expression" priority="1" stopIfTrue="1">
      <formula>"cellhasformula"</formula>
    </cfRule>
  </conditionalFormatting>
  <printOptions horizontalCentered="1"/>
  <pageMargins left="0.59055118110236227" right="0.39370078740157483" top="0.59055118110236227" bottom="0.39370078740157483" header="0.47244094488188981" footer="0"/>
  <pageSetup paperSize="9" scale="52" fitToHeight="0" orientation="landscape" r:id="rId1"/>
  <headerFooter differentFirst="1" alignWithMargins="0">
    <oddHeader>&amp;C&amp;13&amp;P</oddHeader>
  </headerFooter>
  <colBreaks count="1" manualBreakCount="1">
    <brk id="2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C769-6547-7C42-B88D-E65F98180D76}">
  <dimension ref="A1:C26"/>
  <sheetViews>
    <sheetView tabSelected="1" workbookViewId="0">
      <selection activeCell="C7" sqref="C7"/>
    </sheetView>
  </sheetViews>
  <sheetFormatPr baseColWidth="10" defaultRowHeight="16"/>
  <cols>
    <col min="1" max="1" width="25.33203125" customWidth="1"/>
    <col min="3" max="3" width="15.1640625" customWidth="1"/>
    <col min="4" max="7" width="14.6640625" customWidth="1"/>
  </cols>
  <sheetData>
    <row r="1" spans="1:3">
      <c r="A1" t="s">
        <v>90</v>
      </c>
      <c r="B1" t="s">
        <v>91</v>
      </c>
      <c r="C1" t="s">
        <v>92</v>
      </c>
    </row>
    <row r="2" spans="1:3">
      <c r="A2" t="str">
        <f>'PL5 DƠN GIÁ CHI TIẾT'!B20</f>
        <v>Khuy dây đeo AK</v>
      </c>
      <c r="B2">
        <f>'PL5 DƠN GIÁ CHI TIẾT'!K20*1000</f>
        <v>15</v>
      </c>
    </row>
    <row r="3" spans="1:3">
      <c r="A3" t="str">
        <f>'PL5 DƠN GIÁ CHI TIẾT'!B21</f>
        <v>Đế báng AK + vít</v>
      </c>
      <c r="B3">
        <f>'PL5 DƠN GIÁ CHI TIẾT'!K21*1000</f>
        <v>368</v>
      </c>
    </row>
    <row r="4" spans="1:3">
      <c r="A4" t="str">
        <f>'PL5 DƠN GIÁ CHI TIẾT'!B22</f>
        <v>Bộ phát hoả K54</v>
      </c>
      <c r="B4">
        <f>'PL5 DƠN GIÁ CHI TIẾT'!K22*1000</f>
        <v>384</v>
      </c>
    </row>
    <row r="5" spans="1:3">
      <c r="A5" t="str">
        <f>'PL5 DƠN GIÁ CHI TIẾT'!B23</f>
        <v>Nhíp cò RPĐ</v>
      </c>
      <c r="B5">
        <f>'PL5 DƠN GIÁ CHI TIẾT'!K23*1000</f>
        <v>30</v>
      </c>
    </row>
    <row r="6" spans="1:3">
      <c r="A6" t="str">
        <f>'PL5 DƠN GIÁ CHI TIẾT'!B24</f>
        <v>Nắp che bụi RPĐ</v>
      </c>
      <c r="B6">
        <f>'PL5 DƠN GIÁ CHI TIẾT'!K24*1000</f>
        <v>45</v>
      </c>
    </row>
    <row r="7" spans="1:3">
      <c r="A7" t="str">
        <f>'PL5 DƠN GIÁ CHI TIẾT'!B25</f>
        <v>Khoá an toàn + nhíp RPĐ</v>
      </c>
      <c r="B7">
        <f>'PL5 DƠN GIÁ CHI TIẾT'!K25*1000</f>
        <v>924</v>
      </c>
    </row>
    <row r="8" spans="1:3">
      <c r="A8" t="str">
        <f>'PL5 DƠN GIÁ CHI TIẾT'!B26</f>
        <v>Vòng bịt kín khi thuốc Cối 100</v>
      </c>
      <c r="B8">
        <f>'PL5 DƠN GIÁ CHI TIẾT'!K26*1000</f>
        <v>161.1</v>
      </c>
    </row>
    <row r="9" spans="1:3">
      <c r="A9" t="str">
        <f>'PL5 DƠN GIÁ CHI TIẾT'!B27</f>
        <v>Vòng bịt kín khi thuốc Cối 82</v>
      </c>
      <c r="B9">
        <f>'PL5 DƠN GIÁ CHI TIẾT'!K27*1000</f>
        <v>161.1</v>
      </c>
    </row>
    <row r="10" spans="1:3">
      <c r="A10" t="str">
        <f>'PL5 DƠN GIÁ CHI TIẾT'!B28</f>
        <v>Khoá đế cối 60mm</v>
      </c>
      <c r="B10">
        <f>'PL5 DƠN GIÁ CHI TIẾT'!K28*1000</f>
        <v>841</v>
      </c>
    </row>
    <row r="11" spans="1:3">
      <c r="A11" t="str">
        <f>'PL5 DƠN GIÁ CHI TIẾT'!B29</f>
        <v>Tay nắm nắp hậu 12,7mm</v>
      </c>
      <c r="B11">
        <f>'PL5 DƠN GIÁ CHI TIẾT'!K29*1000</f>
        <v>105</v>
      </c>
    </row>
    <row r="12" spans="1:3">
      <c r="A12" t="str">
        <f>'PL5 DƠN GIÁ CHI TIẾT'!B30</f>
        <v>Then hãm nòng + Đai ốc 12,7mm</v>
      </c>
      <c r="B12">
        <f>'PL5 DƠN GIÁ CHI TIẾT'!K30*1000</f>
        <v>762</v>
      </c>
    </row>
    <row r="13" spans="1:3">
      <c r="A13" t="str">
        <f>'PL5 DƠN GIÁ CHI TIẾT'!B31</f>
        <v>Bọt nước giường PCX 37</v>
      </c>
      <c r="B13">
        <f>'PL5 DƠN GIÁ CHI TIẾT'!K31*1000</f>
        <v>540</v>
      </c>
    </row>
    <row r="14" spans="1:3">
      <c r="A14" t="str">
        <f>'PL5 DƠN GIÁ CHI TIẾT'!B32</f>
        <v>Bạc giảm xóc PCX 37</v>
      </c>
      <c r="B14">
        <f>'PL5 DƠN GIÁ CHI TIẾT'!K32*1000</f>
        <v>150</v>
      </c>
    </row>
    <row r="15" spans="1:3">
      <c r="A15" t="str">
        <f>'PL5 DƠN GIÁ CHI TIẾT'!B33</f>
        <v>Chi tiết nhựa</v>
      </c>
      <c r="B15">
        <f>'PL5 DƠN GIÁ CHI TIẾT'!K33*1000</f>
        <v>0</v>
      </c>
    </row>
    <row r="16" spans="1:3">
      <c r="A16" t="str">
        <f>'PL5 DƠN GIÁ CHI TIẾT'!B34</f>
        <v>Ốp lót tay dưới AK</v>
      </c>
      <c r="B16">
        <f>'PL5 DƠN GIÁ CHI TIẾT'!K34*1000</f>
        <v>444</v>
      </c>
    </row>
    <row r="17" spans="1:2">
      <c r="A17" t="str">
        <f>'PL5 DƠN GIÁ CHI TIẾT'!B35</f>
        <v>Ốp lót tay trên AK</v>
      </c>
      <c r="B17">
        <f>'PL5 DƠN GIÁ CHI TIẾT'!K35*1000</f>
        <v>801</v>
      </c>
    </row>
    <row r="18" spans="1:2">
      <c r="A18" t="str">
        <f>'PL5 DƠN GIÁ CHI TIẾT'!B36</f>
        <v>Tay cầm AK</v>
      </c>
      <c r="B18">
        <f>'PL5 DƠN GIÁ CHI TIẾT'!K36*1000</f>
        <v>183</v>
      </c>
    </row>
    <row r="19" spans="1:2">
      <c r="A19" t="str">
        <f>'PL5 DƠN GIÁ CHI TIẾT'!B37</f>
        <v>Báng súng AKM</v>
      </c>
      <c r="B19">
        <f>'PL5 DƠN GIÁ CHI TIẾT'!K37*1000</f>
        <v>1000</v>
      </c>
    </row>
    <row r="20" spans="1:2">
      <c r="A20" t="str">
        <f>'PL5 DƠN GIÁ CHI TIẾT'!B38</f>
        <v>Ốp tay cầm K54</v>
      </c>
      <c r="B20">
        <f>'PL5 DƠN GIÁ CHI TIẾT'!K38*1000</f>
        <v>103.1</v>
      </c>
    </row>
    <row r="21" spans="1:2">
      <c r="A21" t="str">
        <f>'PL5 DƠN GIÁ CHI TIẾT'!B39</f>
        <v>Ốp chống nóng + đai ốc B41</v>
      </c>
      <c r="B21">
        <f>'PL5 DƠN GIÁ CHI TIẾT'!K39*1000</f>
        <v>874.3</v>
      </c>
    </row>
    <row r="22" spans="1:2">
      <c r="A22" t="str">
        <f>'PL5 DƠN GIÁ CHI TIẾT'!B40</f>
        <v>Ốp tay cò B41</v>
      </c>
      <c r="B22">
        <f>'PL5 DƠN GIÁ CHI TIẾT'!K40*1000</f>
        <v>265</v>
      </c>
    </row>
    <row r="23" spans="1:2">
      <c r="A23" t="str">
        <f>'PL5 DƠN GIÁ CHI TIẾT'!B41</f>
        <v>Ốp chóng nóng ĐKZ 82 K65CT</v>
      </c>
      <c r="B23">
        <f>'PL5 DƠN GIÁ CHI TIẾT'!K41*1000</f>
        <v>720</v>
      </c>
    </row>
    <row r="24" spans="1:2">
      <c r="A24" t="str">
        <f>'PL5 DƠN GIÁ CHI TIẾT'!B42</f>
        <v>Sản xuất chi tiết gỗ</v>
      </c>
      <c r="B24">
        <f>'PL5 DƠN GIÁ CHI TIẾT'!K42*1000</f>
        <v>0</v>
      </c>
    </row>
    <row r="25" spans="1:2">
      <c r="A25" t="str">
        <f>'PL5 DƠN GIÁ CHI TIẾT'!B43</f>
        <v>Báng súng AKM</v>
      </c>
      <c r="B25">
        <f>'PL5 DƠN GIÁ CHI TIẾT'!K43*1000</f>
        <v>915</v>
      </c>
    </row>
    <row r="26" spans="1:2">
      <c r="A26" t="str">
        <f>'PL5 DƠN GIÁ CHI TIẾT'!B44</f>
        <v>Báng súng CKC</v>
      </c>
      <c r="B26">
        <f>'PL5 DƠN GIÁ CHI TIẾT'!K44*1000</f>
        <v>1158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245F-17F5-6047-A9B5-DD53D7E744E7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PL5 DƠN GIÁ CHI TIẾT</vt:lpstr>
      <vt:lpstr>Sheet3</vt:lpstr>
      <vt:lpstr>Sheet1</vt:lpstr>
      <vt:lpstr>'PL5 DƠN GIÁ CHI TIẾT'!Print_Area</vt:lpstr>
      <vt:lpstr>'PL5 DƠN GIÁ CHI TIẾT'!Print_Titles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HEOCOI</dc:creator>
  <cp:lastModifiedBy>HEOCOI</cp:lastModifiedBy>
  <dcterms:created xsi:type="dcterms:W3CDTF">2026-06-15T09:32:15Z</dcterms:created>
  <dcterms:modified xsi:type="dcterms:W3CDTF">2026-06-15T09:43:06Z</dcterms:modified>
</cp:coreProperties>
</file>